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Forecast v2- 20260303" sheetId="1" r:id="rId4"/>
    <sheet state="visible" name="2026 Forecast" sheetId="2" r:id="rId5"/>
    <sheet state="visible" name="2027 Forecast" sheetId="3" r:id="rId6"/>
    <sheet state="visible" name="2023 forecast (183K)" sheetId="4" r:id="rId7"/>
    <sheet state="visible" name="2024 forecast ( IF 183K)" sheetId="5" r:id="rId8"/>
    <sheet state="visible" name="Copy of 2024 forecast (197K)" sheetId="6" r:id="rId9"/>
    <sheet state="visible" name="2025 forecast (197K)" sheetId="7" r:id="rId10"/>
    <sheet state="visible" name="2023 forecast (167K)" sheetId="8" r:id="rId11"/>
    <sheet state="visible" name="1 JUL 2023 to 31 DEC 2023" sheetId="9" r:id="rId12"/>
    <sheet state="visible" name="2024 forecast (167K)" sheetId="10" r:id="rId13"/>
    <sheet state="visible" name="2022 - 155K Household income" sheetId="11" r:id="rId14"/>
    <sheet state="visible" name="Debt Projection" sheetId="12" r:id="rId15"/>
  </sheets>
  <definedNames/>
  <calcPr/>
</workbook>
</file>

<file path=xl/sharedStrings.xml><?xml version="1.0" encoding="utf-8"?>
<sst xmlns="http://schemas.openxmlformats.org/spreadsheetml/2006/main" count="554" uniqueCount="159">
  <si>
    <t>Expenses &amp; Bills</t>
  </si>
  <si>
    <t>Monthly</t>
  </si>
  <si>
    <t>Fortnightly</t>
  </si>
  <si>
    <t>Weekly</t>
  </si>
  <si>
    <t>INCOME</t>
  </si>
  <si>
    <t xml:space="preserve">
INVESTMENT - 18 Park View Terrace, Sydenham @ $2552/mth</t>
  </si>
  <si>
    <t>Annually 
(after tax)</t>
  </si>
  <si>
    <t>Monthly
(after tax)</t>
  </si>
  <si>
    <t>Fortnightly
(after tax)</t>
  </si>
  <si>
    <t>Salary</t>
  </si>
  <si>
    <t>Celendine property - extra repayments @ $2928/mth</t>
  </si>
  <si>
    <t>Scott</t>
  </si>
  <si>
    <t>no HECs debt</t>
  </si>
  <si>
    <t>HOME - Sassafras Drive @ $3822/mth</t>
  </si>
  <si>
    <t>Mina</t>
  </si>
  <si>
    <t>School fees (Salesian College) @ $11,590 annually</t>
  </si>
  <si>
    <t>18 Park View - investment</t>
  </si>
  <si>
    <t>School fees (Holy Trinity) @ $4020 annually</t>
  </si>
  <si>
    <t>Little Lane childcare (Penny - 4 days per week)</t>
  </si>
  <si>
    <t>Medibank Private Health Insurance</t>
  </si>
  <si>
    <t>TOTAL</t>
  </si>
  <si>
    <t>Budget Direct (car insurance)</t>
  </si>
  <si>
    <t>Groceries</t>
  </si>
  <si>
    <t>Revenue - Expenses</t>
  </si>
  <si>
    <t>Wulf mobile phone</t>
  </si>
  <si>
    <t>Mina mobile</t>
  </si>
  <si>
    <t>VicRoads Rego</t>
  </si>
  <si>
    <t>Budget Direct (Sassafras Drive building insurance)</t>
  </si>
  <si>
    <t>Budget Direct (18 Park View building insurance)</t>
  </si>
  <si>
    <t>Annual - once off payments:</t>
  </si>
  <si>
    <t>Greater Western Water - 18 Parkview Tce</t>
  </si>
  <si>
    <t>Ambulance Victoria</t>
  </si>
  <si>
    <t>Greater Western Water - Sassafras Drive</t>
  </si>
  <si>
    <t>Land insurance</t>
  </si>
  <si>
    <t>Momentum Energy (Electricity)</t>
  </si>
  <si>
    <t>Momentum Energy (Gas)</t>
  </si>
  <si>
    <t>Brimbank Council Rates (18 Park View) @ $1840 annually</t>
  </si>
  <si>
    <t>Hume City Council Rates (Sassafras Drive) @ $2617 annually</t>
  </si>
  <si>
    <t>Music Education Academy (all 3 kids)</t>
  </si>
  <si>
    <t>Audrey basketball JETS (includes rego fee for both summer &amp; winter seasons)</t>
  </si>
  <si>
    <t>Wulf Boxing / Jujitsu</t>
  </si>
  <si>
    <t>Evie basketball JETS</t>
  </si>
  <si>
    <t>MIC Basketball Training @ ($370 x Audrey) x 4 Terms</t>
  </si>
  <si>
    <t>Music lessons - guitar (Salesian - Wulfy) @ $240 x 4 Terms</t>
  </si>
  <si>
    <t>Pet Insurance (Titus)</t>
  </si>
  <si>
    <t>HarMoney (OACC &amp;Latitude &amp;Cong)(temporary) $19500</t>
  </si>
  <si>
    <t>Wulf basketball OACC Fire (includes rego fee for both summer &amp; winter seasons)</t>
  </si>
  <si>
    <t>MIC Basketball Training @ ($370x3kids) x 4 Terms</t>
  </si>
  <si>
    <t>Temporary Stop</t>
  </si>
  <si>
    <t>Audrey - Relentless Basketball Training</t>
  </si>
  <si>
    <t>Mina (part-time 34 hrs/wk)</t>
  </si>
  <si>
    <t>School fees (Salesian College x 2 W &amp; A) @ $11,590 x 2 annually</t>
  </si>
  <si>
    <t>School fees (Holy Trinity - Evie) @ $3100 annually</t>
  </si>
  <si>
    <t>Mina FULLTIME, S at 100K (A &amp; W @ School)</t>
  </si>
  <si>
    <t xml:space="preserve">Debt </t>
  </si>
  <si>
    <t xml:space="preserve">Household income </t>
  </si>
  <si>
    <t>Home Loan repayments
18 Parkview Terrace, Sydenham @  1.99% 
(4 year fixed since Feb 2021)</t>
  </si>
  <si>
    <t>1 Jan 2023 - 31 Dec 2023</t>
  </si>
  <si>
    <t>Annually</t>
  </si>
  <si>
    <t>Celendine property - extra repayments
(paying since 2020)</t>
  </si>
  <si>
    <t>OACC school, admin fees &amp; piano tuition (pay via Edstart)</t>
  </si>
  <si>
    <t>(March increase)</t>
  </si>
  <si>
    <t>$82,571 (Dec increase)</t>
  </si>
  <si>
    <t>Kinder - Evie (3 days a week)</t>
  </si>
  <si>
    <t>Big Childcare fees (Wulf &amp; Audrey) - 1 day</t>
  </si>
  <si>
    <t>Joyful Montessori (1 day per week x 4 Terms) $1600 - 1 term only</t>
  </si>
  <si>
    <t>Paid</t>
  </si>
  <si>
    <t>HBF Private Health</t>
  </si>
  <si>
    <t>Bingle Car Insurance (comprehensive)</t>
  </si>
  <si>
    <t>Mina myki</t>
  </si>
  <si>
    <t>Westpac Home &amp; Contents Insurance</t>
  </si>
  <si>
    <t>SYDNEY TRIP</t>
  </si>
  <si>
    <t>City West Water - 18 Parkview Tce</t>
  </si>
  <si>
    <t>MINA 40th Birthday</t>
  </si>
  <si>
    <t>GloBird Electricity</t>
  </si>
  <si>
    <t>Brimbank Council Rates</t>
  </si>
  <si>
    <t>Surgery repayment (Mina) to MCKENNIES BANK</t>
  </si>
  <si>
    <t>Pay into McKennie Bank</t>
  </si>
  <si>
    <t>Dance Lessons (ON HOLD)</t>
  </si>
  <si>
    <t>Artist photography - family portraits</t>
  </si>
  <si>
    <t>Repayment ends Mar 2024 (18mths)</t>
  </si>
  <si>
    <t>Rules:</t>
  </si>
  <si>
    <t>Wulf basketball</t>
  </si>
  <si>
    <t>Can only eat out once a month</t>
  </si>
  <si>
    <t>Weatherworld (Zip Money)</t>
  </si>
  <si>
    <t>Repayment ends  April 2025 (24mths)</t>
  </si>
  <si>
    <t>Meal must be booked and planned in advance</t>
  </si>
  <si>
    <t>Guitar Lessons (ON HOLD)</t>
  </si>
  <si>
    <t>A &amp; E Gymnastic classes</t>
  </si>
  <si>
    <t>Scott's money</t>
  </si>
  <si>
    <t>Liva Learning (1x day per week)</t>
  </si>
  <si>
    <t>Zip Pay</t>
  </si>
  <si>
    <t>Mina FULLTIME, S at 100K (All 3 kids at OACC)</t>
  </si>
  <si>
    <t>FY 2018-2019</t>
  </si>
  <si>
    <t>OACC school fees (3 kids)</t>
  </si>
  <si>
    <t>Mina work travel &amp; food</t>
  </si>
  <si>
    <t>Note: Bingle car insurance due on 21 Feb 2023</t>
  </si>
  <si>
    <t>Repayment ends June 2024 (18mths)</t>
  </si>
  <si>
    <t>Bingle car insurance due on 21 Feb 2023</t>
  </si>
  <si>
    <t>Melb Music Academy - piano lessons</t>
  </si>
  <si>
    <t>Audrey basketball (includes rego fee for both summer &amp; winter seasons)</t>
  </si>
  <si>
    <t>Wulf basketball (includes rego fee for both summer &amp; winter seasons)</t>
  </si>
  <si>
    <t>Evie basketball - Mini Hoops</t>
  </si>
  <si>
    <t xml:space="preserve">KBA Developement Squad (W &amp; A) </t>
  </si>
  <si>
    <t>Enjoy Church donation</t>
  </si>
  <si>
    <t>Debt</t>
  </si>
  <si>
    <t>Virgin Money Home &amp; Contents Insurance</t>
  </si>
  <si>
    <t>Music Education Academy (W &amp; A)</t>
  </si>
  <si>
    <t>(All 3 kids at OACC)</t>
  </si>
  <si>
    <t>Home Loan repayments
18 Parkview Terrace, Sydenham @  6% roughly</t>
  </si>
  <si>
    <t>Pay upfront</t>
  </si>
  <si>
    <t>Virgin Money Home and Contents Insurance</t>
  </si>
  <si>
    <t>Annual once off payments:</t>
  </si>
  <si>
    <t>Home and content insurance</t>
  </si>
  <si>
    <t>Car insurance</t>
  </si>
  <si>
    <t>Health insurance</t>
  </si>
  <si>
    <t>Car rego</t>
  </si>
  <si>
    <t>Mina FULLTIME, S at 75K (A &amp; W @ School)</t>
  </si>
  <si>
    <t>OACC school fees &amp; piano tuition (pay via Edstart)</t>
  </si>
  <si>
    <t>Gift</t>
  </si>
  <si>
    <t>Joyful Montessori (1 day per week x 4 Terms) $1600 - Term 1</t>
  </si>
  <si>
    <t>1 April increase</t>
  </si>
  <si>
    <t>Lapsed</t>
  </si>
  <si>
    <t>Mina work travel</t>
  </si>
  <si>
    <t>Open Pay (repayments - Aura vet surgery fees and car service) and misc</t>
  </si>
  <si>
    <t>Repayment ends Jan 2025 (24mths)</t>
  </si>
  <si>
    <t>End of Year</t>
  </si>
  <si>
    <t>EOY Savings</t>
  </si>
  <si>
    <t>FIJI</t>
  </si>
  <si>
    <t>Mina FULLTIME, S at 85K (A &amp; W @ School)</t>
  </si>
  <si>
    <t>OACC 3x school fees (pay via Edstart)</t>
  </si>
  <si>
    <t>No OHSC</t>
  </si>
  <si>
    <t>A &amp; E gymnastics</t>
  </si>
  <si>
    <t>Wulf electric guitar lessons</t>
  </si>
  <si>
    <t>Childcare - Evie (weekly fees)</t>
  </si>
  <si>
    <t>($80,545 June increase)</t>
  </si>
  <si>
    <t>OACC school fees</t>
  </si>
  <si>
    <t>Big Childcare fees (Wulf &amp; Audrey) - 2 days</t>
  </si>
  <si>
    <t>Mina parking (work)</t>
  </si>
  <si>
    <t>2 days at the office</t>
  </si>
  <si>
    <t>Note:</t>
  </si>
  <si>
    <t>Mina Centrelink repayment</t>
  </si>
  <si>
    <t>Bingle car insurance due on 21 Feb 2022</t>
  </si>
  <si>
    <t>Audrey and Evie's gymnastics lessons</t>
  </si>
  <si>
    <t>Wulfric's tennis lessons</t>
  </si>
  <si>
    <t>Audrey's tennis lessons</t>
  </si>
  <si>
    <t>Wulfric's piano lessons</t>
  </si>
  <si>
    <t>Audrey's piano lessons</t>
  </si>
  <si>
    <t>Debt Projection</t>
  </si>
  <si>
    <t>NAB</t>
  </si>
  <si>
    <t>(Mum) Home Loan</t>
  </si>
  <si>
    <t>Sydenham</t>
  </si>
  <si>
    <t>Required Payment</t>
  </si>
  <si>
    <t>Rent</t>
  </si>
  <si>
    <t>Negative</t>
  </si>
  <si>
    <t>Terrace</t>
  </si>
  <si>
    <t>Interest</t>
  </si>
  <si>
    <t>Monthly Paid</t>
  </si>
  <si>
    <t>From Here Transition gearing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</si>
</sst>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d/m/yyyy"/>
  </numFmts>
  <fonts count="18">
    <font>
      <sz val="10.0"/>
      <color rgb="FF000000"/>
      <name val="Arial"/>
    </font>
    <font>
      <b/>
      <sz val="17.0"/>
      <name val="Arial"/>
    </font>
    <font>
      <sz val="10.0"/>
      <name val="Arial"/>
    </font>
    <font>
      <b/>
      <sz val="10.0"/>
      <color rgb="FF000000"/>
      <name val="Arial"/>
    </font>
    <font>
      <b/>
      <sz val="10.0"/>
      <name val="Arial"/>
    </font>
    <font>
      <b/>
      <sz val="10.0"/>
      <color rgb="FFFFFFFF"/>
      <name val="Arial"/>
    </font>
    <font>
      <i/>
      <sz val="10.0"/>
      <name val="Arial"/>
    </font>
    <font/>
    <font>
      <color rgb="FF000000"/>
    </font>
    <font>
      <b/>
      <sz val="11.0"/>
      <color rgb="FF000000"/>
      <name val="Calibri"/>
    </font>
    <font>
      <sz val="11.0"/>
      <name val="Calibri"/>
    </font>
    <font>
      <b/>
      <sz val="11.0"/>
      <name val="Calibri"/>
    </font>
    <font>
      <sz val="11.0"/>
      <color rgb="FF000000"/>
      <name val="Calibri"/>
    </font>
    <font>
      <i/>
      <sz val="11.0"/>
      <name val="Calibri"/>
    </font>
    <font>
      <sz val="10.0"/>
      <name val="Calibri"/>
    </font>
    <font>
      <name val="Calibri"/>
    </font>
    <font>
      <name val="Arial"/>
    </font>
    <font>
      <sz val="11.0"/>
      <color rgb="FF000000"/>
      <name val="Inconsolata"/>
    </font>
  </fonts>
  <fills count="1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1" fillId="2" fontId="3" numFmtId="0" xfId="0" applyAlignment="1" applyBorder="1" applyFont="1">
      <alignment vertical="bottom"/>
    </xf>
    <xf borderId="2" fillId="2" fontId="3" numFmtId="0" xfId="0" applyAlignment="1" applyBorder="1" applyFont="1">
      <alignment horizontal="right" vertical="bottom"/>
    </xf>
    <xf borderId="2" fillId="2" fontId="3" numFmtId="0" xfId="0" applyAlignment="1" applyBorder="1" applyFont="1">
      <alignment horizontal="right" readingOrder="0" vertical="bottom"/>
    </xf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readingOrder="0" shrinkToFit="0" vertical="bottom" wrapText="0"/>
    </xf>
    <xf borderId="4" fillId="3" fontId="2" numFmtId="0" xfId="0" applyAlignment="1" applyBorder="1" applyFont="1">
      <alignment vertical="bottom"/>
    </xf>
    <xf borderId="5" fillId="0" fontId="0" numFmtId="0" xfId="0" applyAlignment="1" applyBorder="1" applyFont="1">
      <alignment readingOrder="0" vertical="bottom"/>
    </xf>
    <xf borderId="6" fillId="0" fontId="0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readingOrder="0" vertical="bottom"/>
    </xf>
    <xf borderId="6" fillId="4" fontId="3" numFmtId="0" xfId="0" applyAlignment="1" applyBorder="1" applyFill="1" applyFont="1">
      <alignment readingOrder="0" vertical="bottom"/>
    </xf>
    <xf borderId="6" fillId="4" fontId="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0" numFmtId="0" xfId="0" applyAlignment="1" applyBorder="1" applyFont="1">
      <alignment vertical="bottom"/>
    </xf>
    <xf borderId="6" fillId="0" fontId="0" numFmtId="0" xfId="0" applyAlignment="1" applyBorder="1" applyFont="1">
      <alignment horizontal="right" readingOrder="0" vertical="bottom"/>
    </xf>
    <xf borderId="1" fillId="0" fontId="6" numFmtId="3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6" fillId="5" fontId="2" numFmtId="0" xfId="0" applyAlignment="1" applyBorder="1" applyFont="1">
      <alignment horizontal="right" readingOrder="0" vertical="bottom"/>
    </xf>
    <xf borderId="6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horizontal="right" readingOrder="0" vertical="bottom"/>
    </xf>
    <xf borderId="7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readingOrder="0" vertical="bottom"/>
    </xf>
    <xf borderId="5" fillId="0" fontId="0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6" fillId="0" fontId="2" numFmtId="0" xfId="0" applyAlignment="1" applyBorder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6" fillId="0" fontId="2" numFmtId="164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readingOrder="0"/>
    </xf>
    <xf borderId="6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6" fontId="1" numFmtId="0" xfId="0" applyAlignment="1" applyFill="1" applyFont="1">
      <alignment horizontal="left" readingOrder="0"/>
    </xf>
    <xf borderId="1" fillId="0" fontId="7" numFmtId="0" xfId="0" applyBorder="1" applyFont="1"/>
    <xf borderId="6" fillId="0" fontId="7" numFmtId="0" xfId="0" applyBorder="1" applyFont="1"/>
    <xf borderId="1" fillId="2" fontId="9" numFmtId="0" xfId="0" applyAlignment="1" applyBorder="1" applyFont="1">
      <alignment vertical="bottom"/>
    </xf>
    <xf borderId="2" fillId="2" fontId="9" numFmtId="0" xfId="0" applyAlignment="1" applyBorder="1" applyFont="1">
      <alignment horizontal="right" vertical="bottom"/>
    </xf>
    <xf borderId="2" fillId="2" fontId="9" numFmtId="0" xfId="0" applyAlignment="1" applyBorder="1" applyFont="1">
      <alignment horizontal="right" readingOrder="0" vertical="bottom"/>
    </xf>
    <xf borderId="0" fillId="0" fontId="10" numFmtId="0" xfId="0" applyAlignment="1" applyFont="1">
      <alignment vertical="bottom"/>
    </xf>
    <xf borderId="3" fillId="0" fontId="11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vertical="bottom"/>
    </xf>
    <xf borderId="5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right" readingOrder="0"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6" fillId="4" fontId="9" numFmtId="0" xfId="0" applyAlignment="1" applyBorder="1" applyFont="1">
      <alignment readingOrder="0" vertical="bottom"/>
    </xf>
    <xf borderId="6" fillId="4" fontId="9" numFmtId="0" xfId="0" applyAlignment="1" applyBorder="1" applyFont="1">
      <alignment horizontal="right" vertical="bottom"/>
    </xf>
    <xf borderId="1" fillId="0" fontId="13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right" readingOrder="0" vertical="bottom"/>
    </xf>
    <xf borderId="1" fillId="0" fontId="13" numFmtId="3" xfId="0" applyAlignment="1" applyBorder="1" applyFont="1" applyNumberFormat="1">
      <alignment readingOrder="0"/>
    </xf>
    <xf borderId="1" fillId="0" fontId="10" numFmtId="0" xfId="0" applyBorder="1" applyFont="1"/>
    <xf borderId="6" fillId="0" fontId="12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right" readingOrder="0" vertical="bottom"/>
    </xf>
    <xf borderId="1" fillId="0" fontId="12" numFmtId="0" xfId="0" applyAlignment="1" applyBorder="1" applyFont="1">
      <alignment horizontal="right" vertical="bottom"/>
    </xf>
    <xf borderId="0" fillId="0" fontId="13" numFmtId="0" xfId="0" applyAlignment="1" applyFont="1">
      <alignment readingOrder="0" vertical="bottom"/>
    </xf>
    <xf borderId="6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1" fillId="0" fontId="12" numFmtId="0" xfId="0" applyAlignment="1" applyBorder="1" applyFont="1">
      <alignment horizontal="left" readingOrder="0" vertical="bottom"/>
    </xf>
    <xf borderId="6" fillId="0" fontId="9" numFmtId="0" xfId="0" applyAlignment="1" applyBorder="1" applyFont="1">
      <alignment horizontal="right" readingOrder="0" vertical="bottom"/>
    </xf>
    <xf borderId="5" fillId="0" fontId="12" numFmtId="0" xfId="0" applyAlignment="1" applyBorder="1" applyFont="1">
      <alignment vertical="bottom"/>
    </xf>
    <xf borderId="7" fillId="0" fontId="9" numFmtId="0" xfId="0" applyAlignment="1" applyBorder="1" applyFont="1">
      <alignment horizontal="right" vertical="bottom"/>
    </xf>
    <xf borderId="6" fillId="0" fontId="9" numFmtId="0" xfId="0" applyAlignment="1" applyBorder="1" applyFont="1">
      <alignment horizontal="right" vertical="bottom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1" fillId="0" fontId="12" numFmtId="0" xfId="0" applyAlignment="1" applyBorder="1" applyFont="1">
      <alignment vertical="bottom"/>
    </xf>
    <xf borderId="0" fillId="0" fontId="11" numFmtId="0" xfId="0" applyAlignment="1" applyFont="1">
      <alignment readingOrder="0" vertical="bottom"/>
    </xf>
    <xf borderId="1" fillId="7" fontId="11" numFmtId="0" xfId="0" applyAlignment="1" applyBorder="1" applyFill="1" applyFont="1">
      <alignment readingOrder="0" vertical="bottom"/>
    </xf>
    <xf borderId="1" fillId="7" fontId="11" numFmtId="164" xfId="0" applyAlignment="1" applyBorder="1" applyFont="1" applyNumberFormat="1">
      <alignment readingOrder="0" vertical="bottom"/>
    </xf>
    <xf borderId="6" fillId="0" fontId="10" numFmtId="0" xfId="0" applyBorder="1" applyFont="1"/>
    <xf borderId="0" fillId="0" fontId="14" numFmtId="0" xfId="0" applyAlignment="1" applyFont="1">
      <alignment vertical="bottom"/>
    </xf>
    <xf borderId="5" fillId="0" fontId="10" numFmtId="0" xfId="0" applyAlignment="1" applyBorder="1" applyFont="1">
      <alignment readingOrder="0"/>
    </xf>
    <xf borderId="6" fillId="0" fontId="10" numFmtId="0" xfId="0" applyAlignment="1" applyBorder="1" applyFont="1">
      <alignment readingOrder="0"/>
    </xf>
    <xf borderId="5" fillId="8" fontId="10" numFmtId="0" xfId="0" applyAlignment="1" applyBorder="1" applyFill="1" applyFont="1">
      <alignment readingOrder="0"/>
    </xf>
    <xf borderId="6" fillId="8" fontId="10" numFmtId="0" xfId="0" applyAlignment="1" applyBorder="1" applyFont="1">
      <alignment readingOrder="0"/>
    </xf>
    <xf borderId="1" fillId="8" fontId="7" numFmtId="0" xfId="0" applyBorder="1" applyFont="1"/>
    <xf borderId="0" fillId="0" fontId="10" numFmtId="0" xfId="0" applyAlignment="1" applyFont="1">
      <alignment readingOrder="0"/>
    </xf>
    <xf borderId="1" fillId="8" fontId="7" numFmtId="0" xfId="0" applyAlignment="1" applyBorder="1" applyFont="1">
      <alignment readingOrder="0"/>
    </xf>
    <xf borderId="1" fillId="8" fontId="10" numFmtId="0" xfId="0" applyBorder="1" applyFont="1"/>
    <xf borderId="1" fillId="0" fontId="12" numFmtId="0" xfId="0" applyAlignment="1" applyBorder="1" applyFont="1">
      <alignment horizontal="left" readingOrder="0" vertical="bottom"/>
    </xf>
    <xf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6" fillId="4" fontId="3" numFmtId="0" xfId="0" applyAlignment="1" applyBorder="1" applyFont="1">
      <alignment vertical="bottom"/>
    </xf>
    <xf borderId="6" fillId="4" fontId="3" numFmtId="0" xfId="0" applyAlignment="1" applyBorder="1" applyFont="1">
      <alignment horizontal="right" vertical="bottom"/>
    </xf>
    <xf borderId="6" fillId="0" fontId="0" numFmtId="0" xfId="0" applyAlignment="1" applyBorder="1" applyFont="1">
      <alignment vertical="bottom"/>
    </xf>
    <xf borderId="1" fillId="0" fontId="2" numFmtId="0" xfId="0" applyBorder="1" applyFont="1"/>
    <xf borderId="1" fillId="0" fontId="0" numFmtId="0" xfId="0" applyAlignment="1" applyBorder="1" applyFont="1">
      <alignment horizontal="right" vertical="bottom"/>
    </xf>
    <xf borderId="6" fillId="0" fontId="2" numFmtId="0" xfId="0" applyBorder="1" applyFont="1"/>
    <xf borderId="1" fillId="7" fontId="2" numFmtId="0" xfId="0" applyAlignment="1" applyBorder="1" applyFont="1">
      <alignment readingOrder="0"/>
    </xf>
    <xf borderId="1" fillId="7" fontId="7" numFmtId="0" xfId="0" applyAlignment="1" applyBorder="1" applyFont="1">
      <alignment readingOrder="0"/>
    </xf>
    <xf borderId="1" fillId="7" fontId="7" numFmtId="0" xfId="0" applyBorder="1" applyFont="1"/>
    <xf borderId="1" fillId="0" fontId="0" numFmtId="0" xfId="0" applyAlignment="1" applyBorder="1" applyFont="1">
      <alignment horizontal="left" readingOrder="0" vertical="bottom"/>
    </xf>
    <xf borderId="6" fillId="4" fontId="3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6" fillId="4" fontId="9" numFmtId="0" xfId="0" applyAlignment="1" applyBorder="1" applyFont="1">
      <alignment vertical="bottom"/>
    </xf>
    <xf borderId="1" fillId="0" fontId="10" numFmtId="3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6" fillId="0" fontId="15" numFmtId="0" xfId="0" applyAlignment="1" applyBorder="1" applyFont="1">
      <alignment readingOrder="0"/>
    </xf>
    <xf borderId="6" fillId="0" fontId="12" numFmtId="0" xfId="0" applyAlignment="1" applyBorder="1" applyFont="1">
      <alignment horizontal="right" vertical="bottom"/>
    </xf>
    <xf borderId="0" fillId="9" fontId="16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9" xfId="0" applyAlignment="1" applyFont="1" applyNumberFormat="1">
      <alignment horizontal="right" vertical="bottom"/>
    </xf>
    <xf borderId="0" fillId="10" fontId="17" numFmtId="9" xfId="0" applyAlignment="1" applyFill="1" applyFont="1" applyNumberFormat="1">
      <alignment horizontal="right" vertical="bottom"/>
    </xf>
    <xf borderId="0" fillId="10" fontId="17" numFmtId="10" xfId="0" applyAlignment="1" applyFont="1" applyNumberFormat="1">
      <alignment horizontal="right" vertical="bottom"/>
    </xf>
    <xf borderId="0" fillId="0" fontId="16" numFmtId="0" xfId="0" applyAlignment="1" applyFont="1">
      <alignment horizontal="right" readingOrder="0" vertical="bottom"/>
    </xf>
    <xf borderId="0" fillId="10" fontId="17" numFmtId="0" xfId="0" applyAlignment="1" applyFont="1">
      <alignment horizontal="right" readingOrder="0" vertical="bottom"/>
    </xf>
    <xf borderId="0" fillId="10" fontId="17" numFmtId="3" xfId="0" applyAlignment="1" applyFont="1" applyNumberFormat="1">
      <alignment horizontal="right" readingOrder="0" vertical="bottom"/>
    </xf>
    <xf borderId="0" fillId="10" fontId="17" numFmtId="0" xfId="0" applyAlignment="1" applyFon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4" max="4" width="9.5"/>
    <col customWidth="1" min="6" max="6" width="20.38"/>
  </cols>
  <sheetData>
    <row r="1">
      <c r="A1" s="1">
        <v>2026.0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B2" s="4" t="s">
        <v>1</v>
      </c>
      <c r="C2" s="4" t="s">
        <v>2</v>
      </c>
      <c r="D2" s="5" t="s">
        <v>3</v>
      </c>
      <c r="E2" s="6"/>
      <c r="F2" s="7" t="s">
        <v>4</v>
      </c>
      <c r="G2" s="8"/>
      <c r="H2" s="8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9" t="s">
        <v>5</v>
      </c>
      <c r="B3" s="10">
        <v>2552.0</v>
      </c>
      <c r="C3" s="10">
        <v>1276.0</v>
      </c>
      <c r="D3" s="11">
        <v>638.0</v>
      </c>
      <c r="E3" s="6"/>
      <c r="F3" s="12"/>
      <c r="G3" s="13" t="s">
        <v>6</v>
      </c>
      <c r="H3" s="13" t="s">
        <v>7</v>
      </c>
      <c r="I3" s="13" t="s">
        <v>8</v>
      </c>
      <c r="J3" s="14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.5" customHeight="1">
      <c r="A4" s="15" t="s">
        <v>10</v>
      </c>
      <c r="B4" s="15">
        <v>800.0</v>
      </c>
      <c r="C4" s="15">
        <v>400.0</v>
      </c>
      <c r="D4" s="15">
        <v>200.0</v>
      </c>
      <c r="E4" s="6"/>
      <c r="F4" s="16" t="s">
        <v>11</v>
      </c>
      <c r="G4" s="10">
        <f t="shared" ref="G4:G5" si="1">H4*12</f>
        <v>96000</v>
      </c>
      <c r="H4" s="17">
        <f t="shared" ref="H4:H5" si="2">I4*2</f>
        <v>8000</v>
      </c>
      <c r="I4" s="10">
        <v>4000.0</v>
      </c>
      <c r="J4" s="18">
        <v>140000.0</v>
      </c>
      <c r="K4" s="19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0" t="s">
        <v>13</v>
      </c>
      <c r="B5" s="20">
        <v>3822.0</v>
      </c>
      <c r="C5" s="20">
        <v>1911.0</v>
      </c>
      <c r="D5" s="15">
        <v>955.5</v>
      </c>
      <c r="E5" s="6"/>
      <c r="F5" s="21" t="s">
        <v>14</v>
      </c>
      <c r="G5" s="10">
        <f t="shared" si="1"/>
        <v>65952</v>
      </c>
      <c r="H5" s="17">
        <f t="shared" si="2"/>
        <v>5496</v>
      </c>
      <c r="I5" s="10">
        <v>2748.0</v>
      </c>
      <c r="J5" s="18">
        <v>102352.0</v>
      </c>
      <c r="K5" s="19" t="s">
        <v>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1" t="s">
        <v>15</v>
      </c>
      <c r="B6" s="22">
        <v>956.0</v>
      </c>
      <c r="C6" s="22">
        <v>478.0</v>
      </c>
      <c r="D6" s="11">
        <v>239.0</v>
      </c>
      <c r="E6" s="23"/>
      <c r="F6" s="24" t="s">
        <v>16</v>
      </c>
      <c r="G6" s="25">
        <v>24000.0</v>
      </c>
      <c r="H6" s="25">
        <v>2000.0</v>
      </c>
      <c r="I6" s="25">
        <v>1000.0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0" t="s">
        <v>17</v>
      </c>
      <c r="B7" s="20">
        <v>335.0</v>
      </c>
      <c r="C7" s="20">
        <v>168.0</v>
      </c>
      <c r="D7" s="26">
        <v>84.0</v>
      </c>
      <c r="E7" s="23"/>
      <c r="F7" s="16"/>
      <c r="G7" s="10"/>
      <c r="H7" s="10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0" t="s">
        <v>18</v>
      </c>
      <c r="B8" s="20">
        <v>764.0</v>
      </c>
      <c r="C8" s="20">
        <v>382.0</v>
      </c>
      <c r="D8" s="26">
        <v>191.0</v>
      </c>
      <c r="E8" s="23"/>
      <c r="F8" s="27"/>
      <c r="G8" s="28"/>
      <c r="H8" s="10"/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 t="s">
        <v>19</v>
      </c>
      <c r="B9" s="10">
        <v>252.0</v>
      </c>
      <c r="C9" s="10">
        <v>126.0</v>
      </c>
      <c r="D9" s="26">
        <v>63.0</v>
      </c>
      <c r="E9" s="23"/>
      <c r="F9" s="29" t="s">
        <v>20</v>
      </c>
      <c r="G9" s="30">
        <f>SUM(G4:G8)</f>
        <v>185952</v>
      </c>
      <c r="H9" s="30">
        <f t="shared" ref="H9:I9" si="3">sum(H4:H8)</f>
        <v>15496</v>
      </c>
      <c r="I9" s="30">
        <f t="shared" si="3"/>
        <v>7748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1" t="s">
        <v>21</v>
      </c>
      <c r="B10" s="31">
        <v>140.0</v>
      </c>
      <c r="C10" s="31">
        <v>70.0</v>
      </c>
      <c r="D10" s="26">
        <v>35.0</v>
      </c>
      <c r="E10" s="6"/>
      <c r="F10" s="6"/>
      <c r="G10" s="6"/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2" t="s">
        <v>22</v>
      </c>
      <c r="B11" s="10">
        <v>1000.0</v>
      </c>
      <c r="C11" s="10">
        <v>500.0</v>
      </c>
      <c r="D11" s="26">
        <v>250.0</v>
      </c>
      <c r="E11" s="6"/>
      <c r="F11" s="33" t="s">
        <v>23</v>
      </c>
      <c r="G11" s="34"/>
      <c r="H11" s="34"/>
      <c r="I11" s="3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5" t="s">
        <v>24</v>
      </c>
      <c r="B12" s="35">
        <v>20.0</v>
      </c>
      <c r="C12" s="35">
        <v>10.0</v>
      </c>
      <c r="D12" s="26">
        <v>5.0</v>
      </c>
      <c r="E12" s="23"/>
      <c r="F12" s="34"/>
      <c r="G12" s="36">
        <f>G9-(B31*12)</f>
        <v>22924.6</v>
      </c>
      <c r="H12" s="36">
        <f t="shared" ref="H12:I12" si="4">H9-B31</f>
        <v>1910.383333</v>
      </c>
      <c r="I12" s="36">
        <f t="shared" si="4"/>
        <v>982.2833333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6" t="s">
        <v>25</v>
      </c>
      <c r="B13" s="22">
        <v>120.0</v>
      </c>
      <c r="C13" s="22">
        <v>60.0</v>
      </c>
      <c r="D13" s="26">
        <v>30.0</v>
      </c>
      <c r="E13" s="6"/>
      <c r="F13" s="37"/>
      <c r="G13" s="6"/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9" t="s">
        <v>26</v>
      </c>
      <c r="B14" s="10">
        <v>70.0</v>
      </c>
      <c r="C14" s="10">
        <v>35.0</v>
      </c>
      <c r="D14" s="35">
        <v>17.5</v>
      </c>
      <c r="E14" s="6"/>
      <c r="F14" s="37"/>
      <c r="G14" s="6"/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9" t="s">
        <v>27</v>
      </c>
      <c r="B15" s="10">
        <v>83.0</v>
      </c>
      <c r="C15" s="10">
        <v>41.5</v>
      </c>
      <c r="D15" s="15">
        <v>20.75</v>
      </c>
      <c r="E15" s="6"/>
      <c r="F15" s="37"/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0" t="s">
        <v>28</v>
      </c>
      <c r="B16" s="20">
        <v>70.0</v>
      </c>
      <c r="C16" s="20">
        <v>35.0</v>
      </c>
      <c r="D16" s="20">
        <v>17.5</v>
      </c>
      <c r="E16" s="6"/>
      <c r="F16" s="37" t="s">
        <v>29</v>
      </c>
      <c r="G16" s="6"/>
      <c r="H16" s="6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9" t="s">
        <v>30</v>
      </c>
      <c r="B17" s="10">
        <v>180.0</v>
      </c>
      <c r="C17" s="10">
        <v>90.0</v>
      </c>
      <c r="D17" s="15">
        <v>45.0</v>
      </c>
      <c r="E17" s="23"/>
      <c r="F17" s="23" t="s">
        <v>31</v>
      </c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1" t="s">
        <v>32</v>
      </c>
      <c r="B18" s="20">
        <v>180.0</v>
      </c>
      <c r="C18" s="20">
        <v>90.0</v>
      </c>
      <c r="D18" s="20">
        <v>45.0</v>
      </c>
      <c r="E18" s="19"/>
      <c r="F18" s="23" t="s">
        <v>33</v>
      </c>
      <c r="G18" s="23"/>
      <c r="H18" s="23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9" t="s">
        <v>34</v>
      </c>
      <c r="B19" s="10">
        <v>200.0</v>
      </c>
      <c r="C19" s="10">
        <v>100.0</v>
      </c>
      <c r="D19" s="15">
        <v>50.0</v>
      </c>
      <c r="F19" s="23"/>
      <c r="G19" s="23"/>
      <c r="H19" s="23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9" t="s">
        <v>35</v>
      </c>
      <c r="B20" s="10">
        <v>232.0</v>
      </c>
      <c r="C20" s="10">
        <v>116.0</v>
      </c>
      <c r="D20" s="15">
        <v>58.0</v>
      </c>
      <c r="F20" s="23"/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36</v>
      </c>
      <c r="B21" s="10">
        <v>155.0</v>
      </c>
      <c r="C21" s="10">
        <v>77.5</v>
      </c>
      <c r="D21" s="15">
        <v>38.75</v>
      </c>
      <c r="E21" s="23"/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8" t="s">
        <v>37</v>
      </c>
      <c r="B22" s="20">
        <v>219.0</v>
      </c>
      <c r="C22" s="20">
        <v>109.5</v>
      </c>
      <c r="D22" s="20">
        <v>54.75</v>
      </c>
      <c r="E22" s="23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5" t="s">
        <v>38</v>
      </c>
      <c r="B23" s="10">
        <v>434.0</v>
      </c>
      <c r="C23" s="10">
        <v>217.0</v>
      </c>
      <c r="D23" s="15">
        <v>108.5</v>
      </c>
      <c r="F23" s="23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5" t="s">
        <v>39</v>
      </c>
      <c r="B24" s="15">
        <v>61.0</v>
      </c>
      <c r="C24" s="15">
        <v>30.5</v>
      </c>
      <c r="D24" s="15">
        <v>15.25</v>
      </c>
      <c r="E24" s="23"/>
      <c r="F24" s="6"/>
      <c r="G24" s="23"/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5" t="s">
        <v>40</v>
      </c>
      <c r="B25" s="15">
        <f t="shared" ref="B25:C25" si="5">C25*2</f>
        <v>240</v>
      </c>
      <c r="C25" s="15">
        <f t="shared" si="5"/>
        <v>120</v>
      </c>
      <c r="D25" s="15">
        <v>60.0</v>
      </c>
      <c r="E25" s="6"/>
      <c r="F25" s="6"/>
      <c r="G25" s="23"/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5" t="s">
        <v>41</v>
      </c>
      <c r="B26" s="15">
        <v>61.0</v>
      </c>
      <c r="C26" s="15">
        <v>30.5</v>
      </c>
      <c r="D26" s="20">
        <v>15.25</v>
      </c>
      <c r="E26" s="6"/>
      <c r="F26" s="6"/>
      <c r="G26" s="23"/>
      <c r="H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5" t="s">
        <v>42</v>
      </c>
      <c r="B27" s="39">
        <f>370/3</f>
        <v>123.3333333</v>
      </c>
      <c r="C27" s="39">
        <f t="shared" ref="C27:D27" si="6">B27/2</f>
        <v>61.66666667</v>
      </c>
      <c r="D27" s="40">
        <f t="shared" si="6"/>
        <v>30.83333333</v>
      </c>
      <c r="E27" s="23"/>
      <c r="F27" s="6"/>
      <c r="G27" s="23"/>
      <c r="H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0" t="s">
        <v>43</v>
      </c>
      <c r="B28" s="20">
        <f>240/3</f>
        <v>80</v>
      </c>
      <c r="C28" s="20">
        <f t="shared" ref="C28:D28" si="7">B28/2</f>
        <v>40</v>
      </c>
      <c r="D28" s="20">
        <f t="shared" si="7"/>
        <v>20</v>
      </c>
      <c r="E28" s="23"/>
      <c r="F28" s="6"/>
      <c r="G28" s="6"/>
      <c r="H28" s="6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0" t="s">
        <v>44</v>
      </c>
      <c r="B29" s="20">
        <v>50.0</v>
      </c>
      <c r="C29" s="41">
        <v>25.0</v>
      </c>
      <c r="D29" s="41">
        <v>12.5</v>
      </c>
      <c r="E29" s="23"/>
      <c r="F29" s="6"/>
      <c r="G29" s="6"/>
      <c r="H29" s="6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42" t="s">
        <v>45</v>
      </c>
      <c r="B30" s="20">
        <f>D30*56/12</f>
        <v>386.2833333</v>
      </c>
      <c r="C30" s="41">
        <v>165.55</v>
      </c>
      <c r="D30" s="41">
        <f>C30/2</f>
        <v>82.775</v>
      </c>
      <c r="E30" s="23"/>
      <c r="F30" s="6"/>
      <c r="G30" s="6"/>
      <c r="H30" s="6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9" t="s">
        <v>20</v>
      </c>
      <c r="B31" s="30">
        <f t="shared" ref="B31:D31" si="8">sum(B3:B30)</f>
        <v>13585.61667</v>
      </c>
      <c r="C31" s="30">
        <f t="shared" si="8"/>
        <v>6765.716667</v>
      </c>
      <c r="D31" s="30">
        <f t="shared" si="8"/>
        <v>3382.858333</v>
      </c>
      <c r="E31" s="6"/>
      <c r="F31" s="6"/>
      <c r="G31" s="6"/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4" max="4" width="9.5"/>
    <col customWidth="1" min="6" max="6" width="20.38"/>
  </cols>
  <sheetData>
    <row r="1">
      <c r="A1" s="1">
        <v>2026.0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B2" s="4" t="s">
        <v>1</v>
      </c>
      <c r="C2" s="4" t="s">
        <v>2</v>
      </c>
      <c r="D2" s="5" t="s">
        <v>3</v>
      </c>
      <c r="E2" s="6"/>
      <c r="F2" s="7" t="s">
        <v>4</v>
      </c>
      <c r="G2" s="8"/>
      <c r="H2" s="8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9" t="s">
        <v>5</v>
      </c>
      <c r="B3" s="10">
        <v>2552.0</v>
      </c>
      <c r="C3" s="10">
        <v>1276.0</v>
      </c>
      <c r="D3" s="11">
        <v>638.0</v>
      </c>
      <c r="E3" s="6"/>
      <c r="F3" s="12"/>
      <c r="G3" s="13" t="s">
        <v>6</v>
      </c>
      <c r="H3" s="13" t="s">
        <v>7</v>
      </c>
      <c r="I3" s="13" t="s">
        <v>8</v>
      </c>
      <c r="J3" s="14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.5" customHeight="1">
      <c r="A4" s="15" t="s">
        <v>10</v>
      </c>
      <c r="B4" s="15">
        <v>800.0</v>
      </c>
      <c r="C4" s="15">
        <v>400.0</v>
      </c>
      <c r="D4" s="15">
        <v>200.0</v>
      </c>
      <c r="E4" s="6"/>
      <c r="F4" s="16" t="s">
        <v>11</v>
      </c>
      <c r="G4" s="10">
        <f t="shared" ref="G4:G5" si="1">H4*12</f>
        <v>96000</v>
      </c>
      <c r="H4" s="17">
        <f t="shared" ref="H4:H5" si="2">I4*2</f>
        <v>8000</v>
      </c>
      <c r="I4" s="10">
        <v>4000.0</v>
      </c>
      <c r="J4" s="18">
        <v>140000.0</v>
      </c>
      <c r="K4" s="19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0" t="s">
        <v>13</v>
      </c>
      <c r="B5" s="20">
        <v>3822.0</v>
      </c>
      <c r="C5" s="20">
        <v>1911.0</v>
      </c>
      <c r="D5" s="15">
        <v>955.5</v>
      </c>
      <c r="E5" s="6"/>
      <c r="F5" s="21" t="s">
        <v>14</v>
      </c>
      <c r="G5" s="10">
        <f t="shared" si="1"/>
        <v>65952</v>
      </c>
      <c r="H5" s="17">
        <f t="shared" si="2"/>
        <v>5496</v>
      </c>
      <c r="I5" s="10">
        <v>2748.0</v>
      </c>
      <c r="J5" s="18">
        <v>102352.0</v>
      </c>
      <c r="K5" s="19" t="s">
        <v>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1" t="s">
        <v>15</v>
      </c>
      <c r="B6" s="22">
        <v>956.0</v>
      </c>
      <c r="C6" s="22">
        <v>478.0</v>
      </c>
      <c r="D6" s="11">
        <v>239.0</v>
      </c>
      <c r="E6" s="23"/>
      <c r="F6" s="24" t="s">
        <v>16</v>
      </c>
      <c r="G6" s="25">
        <v>24000.0</v>
      </c>
      <c r="H6" s="25">
        <v>2000.0</v>
      </c>
      <c r="I6" s="25">
        <v>1000.0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0" t="s">
        <v>17</v>
      </c>
      <c r="B7" s="20">
        <v>335.0</v>
      </c>
      <c r="C7" s="20">
        <v>168.0</v>
      </c>
      <c r="D7" s="26">
        <v>84.0</v>
      </c>
      <c r="E7" s="23"/>
      <c r="F7" s="16"/>
      <c r="G7" s="10"/>
      <c r="H7" s="10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0" t="s">
        <v>18</v>
      </c>
      <c r="B8" s="20">
        <v>764.0</v>
      </c>
      <c r="C8" s="20">
        <v>382.0</v>
      </c>
      <c r="D8" s="26">
        <v>191.0</v>
      </c>
      <c r="E8" s="23"/>
      <c r="F8" s="27"/>
      <c r="G8" s="28"/>
      <c r="H8" s="10"/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 t="s">
        <v>19</v>
      </c>
      <c r="B9" s="10">
        <v>252.0</v>
      </c>
      <c r="C9" s="10">
        <v>126.0</v>
      </c>
      <c r="D9" s="26">
        <v>63.0</v>
      </c>
      <c r="E9" s="23"/>
      <c r="F9" s="29" t="s">
        <v>20</v>
      </c>
      <c r="G9" s="30">
        <f>SUM(G4:G8)</f>
        <v>185952</v>
      </c>
      <c r="H9" s="30">
        <f t="shared" ref="H9:I9" si="3">sum(H4:H8)</f>
        <v>15496</v>
      </c>
      <c r="I9" s="30">
        <f t="shared" si="3"/>
        <v>7748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1" t="s">
        <v>21</v>
      </c>
      <c r="B10" s="31">
        <v>140.0</v>
      </c>
      <c r="C10" s="31">
        <v>70.0</v>
      </c>
      <c r="D10" s="26">
        <v>35.0</v>
      </c>
      <c r="E10" s="6"/>
      <c r="F10" s="6"/>
      <c r="G10" s="6"/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2" t="s">
        <v>22</v>
      </c>
      <c r="B11" s="10">
        <v>1000.0</v>
      </c>
      <c r="C11" s="10">
        <v>500.0</v>
      </c>
      <c r="D11" s="26">
        <v>250.0</v>
      </c>
      <c r="E11" s="6"/>
      <c r="F11" s="33" t="s">
        <v>23</v>
      </c>
      <c r="G11" s="34"/>
      <c r="H11" s="34"/>
      <c r="I11" s="3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5" t="s">
        <v>24</v>
      </c>
      <c r="B12" s="35">
        <v>20.0</v>
      </c>
      <c r="C12" s="35">
        <v>10.0</v>
      </c>
      <c r="D12" s="26">
        <v>5.0</v>
      </c>
      <c r="E12" s="23"/>
      <c r="F12" s="34"/>
      <c r="G12" s="36">
        <f>G9-(B34*12)</f>
        <v>32400</v>
      </c>
      <c r="H12" s="36">
        <f t="shared" ref="H12:I12" si="4">H9-B34</f>
        <v>2700</v>
      </c>
      <c r="I12" s="36">
        <f t="shared" si="4"/>
        <v>1349.5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6" t="s">
        <v>25</v>
      </c>
      <c r="B13" s="22">
        <v>120.0</v>
      </c>
      <c r="C13" s="22">
        <v>60.0</v>
      </c>
      <c r="D13" s="26">
        <v>30.0</v>
      </c>
      <c r="E13" s="6"/>
      <c r="F13" s="37"/>
      <c r="G13" s="6"/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9" t="s">
        <v>26</v>
      </c>
      <c r="B14" s="10">
        <v>70.0</v>
      </c>
      <c r="C14" s="10">
        <v>35.0</v>
      </c>
      <c r="D14" s="35">
        <v>17.5</v>
      </c>
      <c r="E14" s="6"/>
      <c r="F14" s="37"/>
      <c r="G14" s="6"/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9" t="s">
        <v>27</v>
      </c>
      <c r="B15" s="10">
        <v>83.0</v>
      </c>
      <c r="C15" s="10">
        <v>41.5</v>
      </c>
      <c r="D15" s="15">
        <v>20.75</v>
      </c>
      <c r="E15" s="6"/>
      <c r="F15" s="37"/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0" t="s">
        <v>28</v>
      </c>
      <c r="B16" s="20">
        <v>70.0</v>
      </c>
      <c r="C16" s="20">
        <v>35.0</v>
      </c>
      <c r="D16" s="20">
        <v>17.5</v>
      </c>
      <c r="E16" s="6"/>
      <c r="F16" s="37" t="s">
        <v>29</v>
      </c>
      <c r="G16" s="6"/>
      <c r="H16" s="6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9" t="s">
        <v>30</v>
      </c>
      <c r="B17" s="10">
        <v>180.0</v>
      </c>
      <c r="C17" s="10">
        <v>90.0</v>
      </c>
      <c r="D17" s="15">
        <v>45.0</v>
      </c>
      <c r="E17" s="23"/>
      <c r="F17" s="23" t="s">
        <v>31</v>
      </c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1" t="s">
        <v>32</v>
      </c>
      <c r="B18" s="20">
        <v>180.0</v>
      </c>
      <c r="C18" s="20">
        <v>90.0</v>
      </c>
      <c r="D18" s="20">
        <v>45.0</v>
      </c>
      <c r="E18" s="19"/>
      <c r="F18" s="23" t="s">
        <v>33</v>
      </c>
      <c r="G18" s="23"/>
      <c r="H18" s="23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9" t="s">
        <v>34</v>
      </c>
      <c r="B19" s="10">
        <v>200.0</v>
      </c>
      <c r="C19" s="10">
        <v>100.0</v>
      </c>
      <c r="D19" s="15">
        <v>50.0</v>
      </c>
      <c r="F19" s="23"/>
      <c r="G19" s="23"/>
      <c r="H19" s="23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9" t="s">
        <v>35</v>
      </c>
      <c r="B20" s="10">
        <v>232.0</v>
      </c>
      <c r="C20" s="10">
        <v>116.0</v>
      </c>
      <c r="D20" s="15">
        <v>58.0</v>
      </c>
      <c r="F20" s="23"/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36</v>
      </c>
      <c r="B21" s="10">
        <v>155.0</v>
      </c>
      <c r="C21" s="10">
        <v>77.5</v>
      </c>
      <c r="D21" s="15">
        <v>38.75</v>
      </c>
      <c r="E21" s="23"/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8" t="s">
        <v>37</v>
      </c>
      <c r="B22" s="20">
        <v>219.0</v>
      </c>
      <c r="C22" s="20">
        <v>109.5</v>
      </c>
      <c r="D22" s="20">
        <v>54.75</v>
      </c>
      <c r="E22" s="23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5" t="s">
        <v>38</v>
      </c>
      <c r="B23" s="10">
        <v>434.0</v>
      </c>
      <c r="C23" s="10">
        <v>217.0</v>
      </c>
      <c r="D23" s="15">
        <v>108.5</v>
      </c>
      <c r="F23" s="23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5" t="s">
        <v>39</v>
      </c>
      <c r="B24" s="15">
        <v>61.0</v>
      </c>
      <c r="C24" s="15">
        <v>30.5</v>
      </c>
      <c r="D24" s="15">
        <v>15.25</v>
      </c>
      <c r="E24" s="23"/>
      <c r="F24" s="6"/>
      <c r="G24" s="23"/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5" t="s">
        <v>46</v>
      </c>
      <c r="B25" s="15">
        <v>40.0</v>
      </c>
      <c r="C25" s="15">
        <v>20.0</v>
      </c>
      <c r="D25" s="15">
        <v>10.0</v>
      </c>
      <c r="E25" s="6"/>
      <c r="F25" s="6"/>
      <c r="G25" s="23"/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5" t="s">
        <v>41</v>
      </c>
      <c r="B26" s="15">
        <v>61.0</v>
      </c>
      <c r="C26" s="15">
        <v>30.5</v>
      </c>
      <c r="D26" s="20">
        <v>15.25</v>
      </c>
      <c r="E26" s="6"/>
      <c r="F26" s="6"/>
      <c r="G26" s="23"/>
      <c r="H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5" t="s">
        <v>47</v>
      </c>
      <c r="B27" s="35"/>
      <c r="C27" s="35"/>
      <c r="D27" s="20"/>
      <c r="E27" s="23" t="s">
        <v>48</v>
      </c>
      <c r="F27" s="6"/>
      <c r="G27" s="23"/>
      <c r="H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5" t="s">
        <v>49</v>
      </c>
      <c r="B28" s="35"/>
      <c r="C28" s="35"/>
      <c r="D28" s="20"/>
      <c r="E28" s="23" t="s">
        <v>48</v>
      </c>
      <c r="F28" s="6"/>
      <c r="G28" s="23"/>
      <c r="H28" s="6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0" t="s">
        <v>43</v>
      </c>
      <c r="B29" s="20"/>
      <c r="C29" s="20"/>
      <c r="D29" s="20"/>
      <c r="E29" s="23"/>
      <c r="F29" s="6"/>
      <c r="G29" s="6"/>
      <c r="H29" s="6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0" t="s">
        <v>44</v>
      </c>
      <c r="B30" s="20">
        <v>50.0</v>
      </c>
      <c r="C30" s="41">
        <v>25.0</v>
      </c>
      <c r="D30" s="41">
        <v>12.5</v>
      </c>
      <c r="E30" s="23"/>
      <c r="F30" s="6"/>
      <c r="G30" s="6"/>
      <c r="H30" s="6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2"/>
      <c r="B31" s="20"/>
      <c r="C31" s="41"/>
      <c r="D31" s="41"/>
      <c r="E31" s="23"/>
      <c r="F31" s="6"/>
      <c r="G31" s="6"/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2"/>
      <c r="B32" s="20"/>
      <c r="C32" s="41"/>
      <c r="D32" s="41"/>
      <c r="E32" s="23"/>
      <c r="F32" s="6"/>
      <c r="G32" s="6"/>
      <c r="H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2"/>
      <c r="B33" s="20"/>
      <c r="C33" s="41"/>
      <c r="D33" s="41"/>
      <c r="E33" s="23"/>
      <c r="F33" s="6"/>
      <c r="G33" s="6"/>
      <c r="H33" s="6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9" t="s">
        <v>20</v>
      </c>
      <c r="B34" s="30">
        <f t="shared" ref="B34:D34" si="5">sum(B3:B33)</f>
        <v>12796</v>
      </c>
      <c r="C34" s="30">
        <f t="shared" si="5"/>
        <v>6398.5</v>
      </c>
      <c r="D34" s="30">
        <f t="shared" si="5"/>
        <v>3199.25</v>
      </c>
      <c r="E34" s="6"/>
      <c r="F34" s="6"/>
      <c r="G34" s="6"/>
      <c r="H34" s="6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4" max="4" width="9.5"/>
    <col customWidth="1" min="6" max="6" width="20.38"/>
  </cols>
  <sheetData>
    <row r="1">
      <c r="A1" s="43">
        <v>2027.0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B2" s="4" t="s">
        <v>1</v>
      </c>
      <c r="C2" s="4" t="s">
        <v>2</v>
      </c>
      <c r="D2" s="5" t="s">
        <v>3</v>
      </c>
      <c r="E2" s="6"/>
      <c r="F2" s="7" t="s">
        <v>4</v>
      </c>
      <c r="G2" s="8"/>
      <c r="H2" s="8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9" t="s">
        <v>5</v>
      </c>
      <c r="B3" s="10">
        <v>2552.0</v>
      </c>
      <c r="C3" s="10">
        <v>1276.0</v>
      </c>
      <c r="D3" s="11">
        <v>638.0</v>
      </c>
      <c r="E3" s="6"/>
      <c r="F3" s="12"/>
      <c r="G3" s="13" t="s">
        <v>6</v>
      </c>
      <c r="H3" s="13" t="s">
        <v>7</v>
      </c>
      <c r="I3" s="13" t="s">
        <v>8</v>
      </c>
      <c r="J3" s="14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.5" customHeight="1">
      <c r="A4" s="15" t="s">
        <v>10</v>
      </c>
      <c r="B4" s="15">
        <v>800.0</v>
      </c>
      <c r="C4" s="15">
        <v>400.0</v>
      </c>
      <c r="D4" s="15">
        <v>200.0</v>
      </c>
      <c r="E4" s="6"/>
      <c r="F4" s="16" t="s">
        <v>11</v>
      </c>
      <c r="G4" s="10">
        <f t="shared" ref="G4:G5" si="1">H4*12</f>
        <v>96000</v>
      </c>
      <c r="H4" s="17">
        <f t="shared" ref="H4:H5" si="2">I4*2</f>
        <v>8000</v>
      </c>
      <c r="I4" s="10">
        <v>4000.0</v>
      </c>
      <c r="J4" s="18">
        <v>140000.0</v>
      </c>
      <c r="K4" s="19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0" t="s">
        <v>13</v>
      </c>
      <c r="B5" s="20">
        <v>3822.0</v>
      </c>
      <c r="C5" s="20">
        <v>1911.0</v>
      </c>
      <c r="D5" s="15">
        <v>955.5</v>
      </c>
      <c r="E5" s="6"/>
      <c r="F5" s="21" t="s">
        <v>50</v>
      </c>
      <c r="G5" s="10">
        <f t="shared" si="1"/>
        <v>66192</v>
      </c>
      <c r="H5" s="17">
        <f t="shared" si="2"/>
        <v>5516</v>
      </c>
      <c r="I5" s="10">
        <v>2758.0</v>
      </c>
      <c r="J5" s="18">
        <v>102352.0</v>
      </c>
      <c r="K5" s="19" t="s">
        <v>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1" t="s">
        <v>51</v>
      </c>
      <c r="B6" s="22">
        <v>1835.0</v>
      </c>
      <c r="C6" s="22">
        <v>917.5</v>
      </c>
      <c r="D6" s="11">
        <v>458.75</v>
      </c>
      <c r="E6" s="23"/>
      <c r="F6" s="24" t="s">
        <v>16</v>
      </c>
      <c r="G6" s="25">
        <v>24000.0</v>
      </c>
      <c r="H6" s="25">
        <v>2000.0</v>
      </c>
      <c r="I6" s="25">
        <v>1000.0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0" t="s">
        <v>52</v>
      </c>
      <c r="B7" s="20">
        <v>259.0</v>
      </c>
      <c r="C7" s="20">
        <v>129.5</v>
      </c>
      <c r="D7" s="26">
        <v>64.75</v>
      </c>
      <c r="E7" s="23"/>
      <c r="F7" s="16"/>
      <c r="G7" s="10"/>
      <c r="H7" s="10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0" t="s">
        <v>18</v>
      </c>
      <c r="B8" s="20">
        <v>764.0</v>
      </c>
      <c r="C8" s="20">
        <v>382.0</v>
      </c>
      <c r="D8" s="26">
        <v>191.0</v>
      </c>
      <c r="E8" s="23"/>
      <c r="F8" s="27"/>
      <c r="G8" s="28"/>
      <c r="H8" s="10"/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 t="s">
        <v>19</v>
      </c>
      <c r="B9" s="10">
        <v>252.0</v>
      </c>
      <c r="C9" s="10">
        <v>126.0</v>
      </c>
      <c r="D9" s="26">
        <v>63.0</v>
      </c>
      <c r="E9" s="23"/>
      <c r="F9" s="29" t="s">
        <v>20</v>
      </c>
      <c r="G9" s="30">
        <f>SUM(G4:G8)</f>
        <v>186192</v>
      </c>
      <c r="H9" s="30">
        <f t="shared" ref="H9:I9" si="3">sum(H4:H8)</f>
        <v>15516</v>
      </c>
      <c r="I9" s="30">
        <f t="shared" si="3"/>
        <v>7758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1" t="s">
        <v>21</v>
      </c>
      <c r="B10" s="31">
        <v>140.0</v>
      </c>
      <c r="C10" s="31">
        <v>70.0</v>
      </c>
      <c r="D10" s="26">
        <v>35.0</v>
      </c>
      <c r="E10" s="6"/>
      <c r="F10" s="6"/>
      <c r="G10" s="6"/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2" t="s">
        <v>22</v>
      </c>
      <c r="B11" s="10">
        <v>1000.0</v>
      </c>
      <c r="C11" s="10">
        <v>500.0</v>
      </c>
      <c r="D11" s="26">
        <v>250.0</v>
      </c>
      <c r="E11" s="6"/>
      <c r="F11" s="33" t="s">
        <v>23</v>
      </c>
      <c r="G11" s="34"/>
      <c r="H11" s="34"/>
      <c r="I11" s="3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5" t="s">
        <v>24</v>
      </c>
      <c r="B12" s="35">
        <v>20.0</v>
      </c>
      <c r="C12" s="35">
        <v>10.0</v>
      </c>
      <c r="D12" s="26">
        <v>5.0</v>
      </c>
      <c r="E12" s="23"/>
      <c r="F12" s="34"/>
      <c r="G12" s="36">
        <f>G9-(B33*12)</f>
        <v>20364</v>
      </c>
      <c r="H12" s="36">
        <f t="shared" ref="H12:I12" si="4">H9-B33</f>
        <v>1697</v>
      </c>
      <c r="I12" s="36">
        <f t="shared" si="4"/>
        <v>848.5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6" t="s">
        <v>25</v>
      </c>
      <c r="B13" s="22">
        <v>120.0</v>
      </c>
      <c r="C13" s="22">
        <v>60.0</v>
      </c>
      <c r="D13" s="26">
        <v>30.0</v>
      </c>
      <c r="E13" s="6"/>
      <c r="F13" s="37"/>
      <c r="G13" s="6"/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9" t="s">
        <v>26</v>
      </c>
      <c r="B14" s="10">
        <v>70.0</v>
      </c>
      <c r="C14" s="10">
        <v>35.0</v>
      </c>
      <c r="D14" s="35">
        <v>17.5</v>
      </c>
      <c r="E14" s="6"/>
      <c r="F14" s="37"/>
      <c r="G14" s="6"/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9" t="s">
        <v>27</v>
      </c>
      <c r="B15" s="10">
        <v>83.0</v>
      </c>
      <c r="C15" s="10">
        <v>41.5</v>
      </c>
      <c r="D15" s="15">
        <v>20.75</v>
      </c>
      <c r="E15" s="6"/>
      <c r="F15" s="37"/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0" t="s">
        <v>28</v>
      </c>
      <c r="B16" s="20">
        <v>70.0</v>
      </c>
      <c r="C16" s="20">
        <v>35.0</v>
      </c>
      <c r="D16" s="20">
        <v>17.5</v>
      </c>
      <c r="E16" s="6"/>
      <c r="F16" s="37" t="s">
        <v>29</v>
      </c>
      <c r="G16" s="6"/>
      <c r="H16" s="6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9" t="s">
        <v>30</v>
      </c>
      <c r="B17" s="10">
        <v>180.0</v>
      </c>
      <c r="C17" s="10">
        <v>90.0</v>
      </c>
      <c r="D17" s="15">
        <v>45.0</v>
      </c>
      <c r="E17" s="23"/>
      <c r="F17" s="23" t="s">
        <v>31</v>
      </c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1" t="s">
        <v>32</v>
      </c>
      <c r="B18" s="20">
        <v>180.0</v>
      </c>
      <c r="C18" s="20">
        <v>90.0</v>
      </c>
      <c r="D18" s="20">
        <v>45.0</v>
      </c>
      <c r="E18" s="19"/>
      <c r="F18" s="23" t="s">
        <v>33</v>
      </c>
      <c r="G18" s="23"/>
      <c r="H18" s="23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9" t="s">
        <v>34</v>
      </c>
      <c r="B19" s="10">
        <v>200.0</v>
      </c>
      <c r="C19" s="10">
        <v>100.0</v>
      </c>
      <c r="D19" s="15">
        <v>50.0</v>
      </c>
      <c r="F19" s="23"/>
      <c r="G19" s="23"/>
      <c r="H19" s="23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9" t="s">
        <v>35</v>
      </c>
      <c r="B20" s="10">
        <v>232.0</v>
      </c>
      <c r="C20" s="10">
        <v>116.0</v>
      </c>
      <c r="D20" s="15">
        <v>58.0</v>
      </c>
      <c r="F20" s="23"/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36</v>
      </c>
      <c r="B21" s="10">
        <v>155.0</v>
      </c>
      <c r="C21" s="10">
        <v>77.5</v>
      </c>
      <c r="D21" s="15">
        <v>38.75</v>
      </c>
      <c r="E21" s="23"/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8" t="s">
        <v>37</v>
      </c>
      <c r="B22" s="20">
        <v>219.0</v>
      </c>
      <c r="C22" s="20">
        <v>109.5</v>
      </c>
      <c r="D22" s="20">
        <v>54.75</v>
      </c>
      <c r="E22" s="23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5" t="s">
        <v>38</v>
      </c>
      <c r="B23" s="10">
        <v>434.0</v>
      </c>
      <c r="C23" s="10">
        <v>217.0</v>
      </c>
      <c r="D23" s="15">
        <v>108.5</v>
      </c>
      <c r="F23" s="23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5" t="s">
        <v>39</v>
      </c>
      <c r="B24" s="15">
        <v>61.0</v>
      </c>
      <c r="C24" s="15">
        <v>30.5</v>
      </c>
      <c r="D24" s="15">
        <v>15.25</v>
      </c>
      <c r="E24" s="23"/>
      <c r="F24" s="6"/>
      <c r="G24" s="23"/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5" t="s">
        <v>46</v>
      </c>
      <c r="B25" s="15">
        <v>40.0</v>
      </c>
      <c r="C25" s="15">
        <v>20.0</v>
      </c>
      <c r="D25" s="15">
        <v>10.0</v>
      </c>
      <c r="E25" s="6"/>
      <c r="F25" s="6"/>
      <c r="G25" s="23"/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5" t="s">
        <v>41</v>
      </c>
      <c r="B26" s="15">
        <v>61.0</v>
      </c>
      <c r="C26" s="15">
        <v>30.5</v>
      </c>
      <c r="D26" s="20">
        <v>15.25</v>
      </c>
      <c r="E26" s="6"/>
      <c r="F26" s="6"/>
      <c r="G26" s="23"/>
      <c r="H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5" t="s">
        <v>47</v>
      </c>
      <c r="B27" s="35"/>
      <c r="C27" s="35"/>
      <c r="D27" s="20"/>
      <c r="E27" s="6"/>
      <c r="F27" s="6"/>
      <c r="G27" s="23"/>
      <c r="H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5" t="s">
        <v>49</v>
      </c>
      <c r="B28" s="35">
        <v>140.0</v>
      </c>
      <c r="C28" s="35">
        <v>70.0</v>
      </c>
      <c r="D28" s="20">
        <v>35.0</v>
      </c>
      <c r="E28" s="6"/>
      <c r="F28" s="6"/>
      <c r="G28" s="23"/>
      <c r="H28" s="6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0" t="s">
        <v>43</v>
      </c>
      <c r="B29" s="20">
        <v>80.0</v>
      </c>
      <c r="C29" s="20">
        <v>40.0</v>
      </c>
      <c r="D29" s="20">
        <v>20.0</v>
      </c>
      <c r="E29" s="23"/>
      <c r="F29" s="6"/>
      <c r="G29" s="6"/>
      <c r="H29" s="6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0" t="s">
        <v>44</v>
      </c>
      <c r="B30" s="20">
        <v>50.0</v>
      </c>
      <c r="C30" s="41">
        <v>25.0</v>
      </c>
      <c r="D30" s="41">
        <v>12.5</v>
      </c>
      <c r="E30" s="23"/>
      <c r="F30" s="6"/>
      <c r="G30" s="6"/>
      <c r="H30" s="6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0"/>
      <c r="B31" s="20"/>
      <c r="C31" s="41"/>
      <c r="D31" s="41"/>
      <c r="E31" s="23"/>
      <c r="F31" s="6"/>
      <c r="G31" s="6"/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4"/>
      <c r="B32" s="44"/>
      <c r="C32" s="45"/>
      <c r="D32" s="45"/>
      <c r="E32" s="23"/>
      <c r="F32" s="6"/>
      <c r="G32" s="6"/>
      <c r="H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9" t="s">
        <v>20</v>
      </c>
      <c r="B33" s="30">
        <f t="shared" ref="B33:C33" si="5">sum(B3:B32)</f>
        <v>13819</v>
      </c>
      <c r="C33" s="30">
        <f t="shared" si="5"/>
        <v>6909.5</v>
      </c>
      <c r="D33" s="30">
        <f>sum(D3:D31)</f>
        <v>3454.75</v>
      </c>
      <c r="E33" s="6"/>
      <c r="F33" s="6"/>
      <c r="G33" s="6"/>
      <c r="H33" s="6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7" max="7" width="21.0"/>
    <col customWidth="1" min="12" max="12" width="16.63"/>
  </cols>
  <sheetData>
    <row r="1">
      <c r="A1" s="38" t="s">
        <v>53</v>
      </c>
    </row>
    <row r="2">
      <c r="A2" s="46" t="s">
        <v>0</v>
      </c>
      <c r="B2" s="47" t="s">
        <v>1</v>
      </c>
      <c r="C2" s="47" t="s">
        <v>2</v>
      </c>
      <c r="D2" s="48" t="s">
        <v>54</v>
      </c>
      <c r="E2" s="49"/>
      <c r="F2" s="49"/>
      <c r="G2" s="50" t="s">
        <v>55</v>
      </c>
      <c r="H2" s="51"/>
      <c r="I2" s="51"/>
      <c r="J2" s="51"/>
    </row>
    <row r="3">
      <c r="A3" s="52" t="s">
        <v>56</v>
      </c>
      <c r="B3" s="53">
        <v>1907.0</v>
      </c>
      <c r="C3" s="53">
        <v>953.5</v>
      </c>
      <c r="D3" s="54"/>
      <c r="E3" s="49"/>
      <c r="F3" s="55"/>
      <c r="G3" s="56" t="s">
        <v>57</v>
      </c>
      <c r="H3" s="57" t="s">
        <v>58</v>
      </c>
      <c r="I3" s="57" t="s">
        <v>1</v>
      </c>
      <c r="J3" s="57" t="s">
        <v>2</v>
      </c>
      <c r="K3" s="58" t="s">
        <v>9</v>
      </c>
    </row>
    <row r="4">
      <c r="A4" s="59" t="s">
        <v>59</v>
      </c>
      <c r="B4" s="59">
        <v>300.0</v>
      </c>
      <c r="C4" s="59">
        <v>150.0</v>
      </c>
      <c r="D4" s="59">
        <v>50200.0</v>
      </c>
      <c r="E4" s="49"/>
      <c r="F4" s="55"/>
      <c r="G4" s="60" t="s">
        <v>11</v>
      </c>
      <c r="H4" s="53">
        <f t="shared" ref="H4:H5" si="1">I4*12</f>
        <v>66144</v>
      </c>
      <c r="I4" s="61">
        <f t="shared" ref="I4:I5" si="2">J4*2</f>
        <v>5512</v>
      </c>
      <c r="J4" s="53">
        <v>2756.0</v>
      </c>
      <c r="K4" s="62">
        <v>100000.0</v>
      </c>
    </row>
    <row r="5">
      <c r="A5" s="52" t="s">
        <v>60</v>
      </c>
      <c r="B5" s="53">
        <v>1744.0</v>
      </c>
      <c r="C5" s="53">
        <v>872.0</v>
      </c>
      <c r="D5" s="63"/>
      <c r="E5" s="49"/>
      <c r="F5" s="55"/>
      <c r="G5" s="64" t="s">
        <v>14</v>
      </c>
      <c r="H5" s="53">
        <f t="shared" si="1"/>
        <v>54024</v>
      </c>
      <c r="I5" s="61">
        <f t="shared" si="2"/>
        <v>4502</v>
      </c>
      <c r="J5" s="53">
        <v>2251.0</v>
      </c>
      <c r="K5" s="62">
        <v>81753.0</v>
      </c>
      <c r="L5" s="38" t="s">
        <v>61</v>
      </c>
      <c r="M5" s="38" t="s">
        <v>62</v>
      </c>
    </row>
    <row r="6">
      <c r="A6" s="65" t="s">
        <v>63</v>
      </c>
      <c r="B6" s="66">
        <v>604.0</v>
      </c>
      <c r="C6" s="59">
        <v>302.0</v>
      </c>
      <c r="D6" s="67"/>
      <c r="E6" s="68"/>
      <c r="F6" s="55"/>
      <c r="G6" s="69"/>
      <c r="H6" s="70"/>
      <c r="I6" s="70"/>
      <c r="J6" s="70"/>
    </row>
    <row r="7">
      <c r="A7" s="59" t="s">
        <v>64</v>
      </c>
      <c r="B7" s="59">
        <v>88.0</v>
      </c>
      <c r="C7" s="59">
        <v>44.0</v>
      </c>
      <c r="D7" s="60"/>
      <c r="E7" s="49"/>
      <c r="F7" s="55"/>
      <c r="G7" s="60"/>
      <c r="H7" s="53"/>
      <c r="I7" s="53"/>
      <c r="J7" s="53"/>
    </row>
    <row r="8">
      <c r="A8" s="59" t="s">
        <v>65</v>
      </c>
      <c r="B8" s="59">
        <v>133.33</v>
      </c>
      <c r="C8" s="59">
        <v>66.67</v>
      </c>
      <c r="D8" s="69"/>
      <c r="E8" s="71" t="s">
        <v>66</v>
      </c>
      <c r="F8" s="49"/>
      <c r="G8" s="72"/>
      <c r="H8" s="73"/>
      <c r="I8" s="53"/>
      <c r="J8" s="53"/>
    </row>
    <row r="9">
      <c r="A9" s="74" t="s">
        <v>67</v>
      </c>
      <c r="B9" s="53">
        <v>249.4</v>
      </c>
      <c r="C9" s="53">
        <v>124.7</v>
      </c>
      <c r="D9" s="60"/>
      <c r="E9" s="49"/>
      <c r="F9" s="49"/>
      <c r="G9" s="75" t="s">
        <v>20</v>
      </c>
      <c r="H9" s="76">
        <f>SUM(H4:H8)</f>
        <v>120168</v>
      </c>
      <c r="I9" s="76">
        <f t="shared" ref="I9:J9" si="3">sum(I4:I8)</f>
        <v>10014</v>
      </c>
      <c r="J9" s="76">
        <f t="shared" si="3"/>
        <v>5007</v>
      </c>
    </row>
    <row r="10">
      <c r="A10" s="69" t="s">
        <v>68</v>
      </c>
      <c r="B10" s="70"/>
      <c r="C10" s="70"/>
      <c r="D10" s="60"/>
      <c r="E10" s="71" t="s">
        <v>66</v>
      </c>
      <c r="F10" s="49"/>
      <c r="G10" s="49"/>
      <c r="H10" s="49"/>
      <c r="I10" s="49"/>
      <c r="J10" s="49"/>
    </row>
    <row r="11">
      <c r="A11" s="74" t="s">
        <v>22</v>
      </c>
      <c r="B11" s="53">
        <v>760.0</v>
      </c>
      <c r="C11" s="53">
        <v>180.0</v>
      </c>
      <c r="D11" s="60"/>
      <c r="E11" s="71"/>
      <c r="F11" s="49"/>
      <c r="G11" s="77" t="s">
        <v>23</v>
      </c>
      <c r="H11" s="78"/>
      <c r="I11" s="78"/>
      <c r="J11" s="78"/>
    </row>
    <row r="12">
      <c r="A12" s="52" t="s">
        <v>69</v>
      </c>
      <c r="B12" s="53">
        <v>50.0</v>
      </c>
      <c r="C12" s="53">
        <v>25.0</v>
      </c>
      <c r="D12" s="60"/>
      <c r="E12" s="49"/>
      <c r="F12" s="49"/>
      <c r="G12" s="78"/>
      <c r="H12" s="79">
        <f>H9-(B30*12)</f>
        <v>12906.72</v>
      </c>
      <c r="I12" s="79">
        <f t="shared" ref="I12:J12" si="4">I9-B30</f>
        <v>1075.56</v>
      </c>
      <c r="J12" s="79">
        <f t="shared" si="4"/>
        <v>737.74</v>
      </c>
    </row>
    <row r="13">
      <c r="A13" s="80" t="s">
        <v>25</v>
      </c>
      <c r="B13" s="66">
        <v>114.0</v>
      </c>
      <c r="C13" s="66">
        <v>57.0</v>
      </c>
      <c r="D13" s="60"/>
      <c r="E13" s="49"/>
      <c r="F13" s="49"/>
      <c r="G13" s="81"/>
      <c r="H13" s="49"/>
      <c r="I13" s="49"/>
      <c r="J13" s="49"/>
    </row>
    <row r="14">
      <c r="A14" s="52" t="s">
        <v>26</v>
      </c>
      <c r="B14" s="53">
        <v>70.0</v>
      </c>
      <c r="C14" s="53">
        <v>35.0</v>
      </c>
      <c r="D14" s="60"/>
      <c r="E14" s="49"/>
      <c r="F14" s="49"/>
      <c r="G14" s="81"/>
      <c r="H14" s="49"/>
      <c r="I14" s="49"/>
      <c r="J14" s="49"/>
    </row>
    <row r="15">
      <c r="A15" s="52" t="s">
        <v>70</v>
      </c>
      <c r="B15" s="53">
        <v>102.0</v>
      </c>
      <c r="C15" s="53">
        <v>51.0</v>
      </c>
      <c r="D15" s="60"/>
      <c r="E15" s="49"/>
      <c r="F15" s="49"/>
      <c r="G15" s="82" t="s">
        <v>71</v>
      </c>
      <c r="H15" s="83">
        <v>2700.0</v>
      </c>
      <c r="I15" s="49"/>
      <c r="J15" s="49"/>
    </row>
    <row r="16">
      <c r="A16" s="52" t="s">
        <v>72</v>
      </c>
      <c r="B16" s="53">
        <v>180.0</v>
      </c>
      <c r="C16" s="53">
        <v>90.0</v>
      </c>
      <c r="D16" s="84"/>
      <c r="E16" s="49"/>
      <c r="F16" s="49"/>
      <c r="G16" s="82" t="s">
        <v>73</v>
      </c>
      <c r="H16" s="83"/>
      <c r="I16" s="49"/>
      <c r="J16" s="49"/>
    </row>
    <row r="17">
      <c r="A17" s="52" t="s">
        <v>74</v>
      </c>
      <c r="B17" s="53">
        <v>170.0</v>
      </c>
      <c r="C17" s="53">
        <v>85.0</v>
      </c>
      <c r="D17" s="63"/>
      <c r="E17" s="49"/>
      <c r="F17" s="49"/>
      <c r="G17" s="71"/>
      <c r="H17" s="49"/>
      <c r="I17" s="49"/>
      <c r="J17" s="49"/>
    </row>
    <row r="18">
      <c r="A18" s="52" t="s">
        <v>35</v>
      </c>
      <c r="B18" s="53">
        <v>156.0</v>
      </c>
      <c r="C18" s="53">
        <v>78.0</v>
      </c>
      <c r="D18" s="59"/>
      <c r="E18" s="49"/>
      <c r="F18" s="49"/>
      <c r="G18" s="71"/>
      <c r="H18" s="71"/>
      <c r="I18" s="71"/>
      <c r="J18" s="49"/>
    </row>
    <row r="19">
      <c r="A19" s="74" t="s">
        <v>75</v>
      </c>
      <c r="B19" s="53">
        <v>100.0</v>
      </c>
      <c r="C19" s="53">
        <v>50.0</v>
      </c>
      <c r="D19" s="59"/>
      <c r="E19" s="85"/>
      <c r="F19" s="49"/>
      <c r="G19" s="81"/>
      <c r="H19" s="71"/>
      <c r="I19" s="71"/>
      <c r="J19" s="49"/>
    </row>
    <row r="20">
      <c r="A20" s="86" t="s">
        <v>76</v>
      </c>
      <c r="B20" s="87">
        <v>188.0</v>
      </c>
      <c r="C20" s="87">
        <v>94.0</v>
      </c>
      <c r="D20" s="44"/>
      <c r="E20" s="71" t="s">
        <v>77</v>
      </c>
      <c r="F20" s="49"/>
      <c r="G20" s="49"/>
      <c r="H20" s="49"/>
      <c r="I20" s="49"/>
      <c r="J20" s="49"/>
    </row>
    <row r="21">
      <c r="A21" s="88" t="s">
        <v>78</v>
      </c>
      <c r="B21" s="89"/>
      <c r="C21" s="89"/>
      <c r="D21" s="90"/>
      <c r="E21" s="49"/>
      <c r="F21" s="49"/>
      <c r="G21" s="49"/>
      <c r="H21" s="49"/>
      <c r="I21" s="49"/>
      <c r="J21" s="49"/>
    </row>
    <row r="22">
      <c r="A22" s="86" t="s">
        <v>79</v>
      </c>
      <c r="B22" s="87">
        <v>609.38</v>
      </c>
      <c r="C22" s="87">
        <v>304.69</v>
      </c>
      <c r="D22" s="44"/>
      <c r="E22" s="71" t="s">
        <v>80</v>
      </c>
      <c r="F22" s="49"/>
      <c r="H22" s="71" t="s">
        <v>81</v>
      </c>
      <c r="I22" s="49"/>
      <c r="J22" s="49"/>
    </row>
    <row r="23">
      <c r="A23" s="86" t="s">
        <v>82</v>
      </c>
      <c r="B23" s="87"/>
      <c r="C23" s="87"/>
      <c r="D23" s="44"/>
      <c r="E23" s="71"/>
      <c r="F23" s="49"/>
      <c r="G23" s="49"/>
      <c r="H23" s="71" t="s">
        <v>83</v>
      </c>
      <c r="I23" s="49"/>
      <c r="J23" s="49"/>
    </row>
    <row r="24">
      <c r="A24" s="59" t="s">
        <v>84</v>
      </c>
      <c r="B24" s="59">
        <v>433.33</v>
      </c>
      <c r="C24" s="59">
        <v>216.7</v>
      </c>
      <c r="D24" s="44"/>
      <c r="E24" s="91" t="s">
        <v>85</v>
      </c>
      <c r="F24" s="49"/>
      <c r="G24" s="49"/>
      <c r="H24" s="71" t="s">
        <v>86</v>
      </c>
      <c r="I24" s="49"/>
      <c r="J24" s="49"/>
    </row>
    <row r="25">
      <c r="A25" s="92" t="s">
        <v>87</v>
      </c>
      <c r="B25" s="92"/>
      <c r="C25" s="92"/>
      <c r="D25" s="93"/>
      <c r="E25" s="49"/>
      <c r="F25" s="49"/>
      <c r="G25" s="49"/>
      <c r="H25" s="49"/>
      <c r="I25" s="49"/>
      <c r="J25" s="49"/>
    </row>
    <row r="26">
      <c r="A26" s="94" t="s">
        <v>88</v>
      </c>
      <c r="B26" s="53">
        <v>236.0</v>
      </c>
      <c r="C26" s="53">
        <v>118.0</v>
      </c>
      <c r="D26" s="76"/>
      <c r="E26" s="71"/>
      <c r="F26" s="71"/>
      <c r="G26" s="49"/>
      <c r="H26" s="49"/>
      <c r="I26" s="49"/>
      <c r="J26" s="49"/>
    </row>
    <row r="27">
      <c r="A27" s="94" t="s">
        <v>89</v>
      </c>
      <c r="B27" s="53">
        <v>400.0</v>
      </c>
      <c r="C27" s="53">
        <v>200.0</v>
      </c>
      <c r="D27" s="76"/>
      <c r="E27" s="71"/>
      <c r="F27" s="71"/>
      <c r="G27" s="49"/>
      <c r="H27" s="49"/>
      <c r="I27" s="49"/>
      <c r="J27" s="49"/>
    </row>
    <row r="28">
      <c r="A28" s="59" t="s">
        <v>90</v>
      </c>
      <c r="B28" s="87">
        <v>264.0</v>
      </c>
      <c r="C28" s="87">
        <v>132.0</v>
      </c>
      <c r="D28" s="76"/>
      <c r="E28" s="71"/>
      <c r="F28" s="49"/>
      <c r="G28" s="71"/>
      <c r="H28" s="49"/>
      <c r="I28" s="49"/>
      <c r="J28" s="49"/>
    </row>
    <row r="29" ht="18.0" customHeight="1">
      <c r="A29" s="59" t="s">
        <v>91</v>
      </c>
      <c r="B29" s="59">
        <v>80.0</v>
      </c>
      <c r="C29" s="59">
        <v>40.0</v>
      </c>
      <c r="D29" s="73"/>
      <c r="E29" s="71"/>
      <c r="F29" s="49"/>
      <c r="G29" s="49"/>
      <c r="H29" s="49"/>
      <c r="I29" s="49"/>
      <c r="J29" s="49"/>
    </row>
    <row r="30">
      <c r="A30" s="75" t="s">
        <v>20</v>
      </c>
      <c r="B30" s="76">
        <f>SUM(B3:B29)</f>
        <v>8938.44</v>
      </c>
      <c r="C30" s="76">
        <f>sum(C3:C29)</f>
        <v>4269.26</v>
      </c>
      <c r="D30" s="76"/>
      <c r="E30" s="49"/>
      <c r="F30" s="49"/>
      <c r="G30" s="49"/>
      <c r="H30" s="49"/>
      <c r="I30" s="49"/>
      <c r="J30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  <col customWidth="1" min="4" max="4" width="9.5"/>
    <col customWidth="1" min="6" max="6" width="20.38"/>
  </cols>
  <sheetData>
    <row r="1">
      <c r="A1" s="95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4" t="s">
        <v>2</v>
      </c>
      <c r="D2" s="5" t="s">
        <v>54</v>
      </c>
      <c r="E2" s="6"/>
      <c r="F2" s="6"/>
      <c r="G2" s="96" t="s">
        <v>55</v>
      </c>
      <c r="H2" s="97"/>
      <c r="I2" s="97"/>
      <c r="J2" s="9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56</v>
      </c>
      <c r="B3" s="10">
        <v>1907.0</v>
      </c>
      <c r="C3" s="10">
        <v>953.5</v>
      </c>
      <c r="D3" s="98"/>
      <c r="E3" s="6"/>
      <c r="F3" s="99"/>
      <c r="G3" s="100" t="s">
        <v>93</v>
      </c>
      <c r="H3" s="101" t="s">
        <v>58</v>
      </c>
      <c r="I3" s="101" t="s">
        <v>1</v>
      </c>
      <c r="J3" s="101" t="s">
        <v>2</v>
      </c>
      <c r="K3" s="14" t="s">
        <v>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5" t="s">
        <v>59</v>
      </c>
      <c r="B4" s="15">
        <v>200.0</v>
      </c>
      <c r="C4" s="15">
        <v>100.0</v>
      </c>
      <c r="D4" s="15">
        <v>45400.0</v>
      </c>
      <c r="E4" s="6"/>
      <c r="F4" s="99"/>
      <c r="G4" s="102" t="s">
        <v>11</v>
      </c>
      <c r="H4" s="10">
        <f t="shared" ref="H4:H5" si="1">I4*12</f>
        <v>66144</v>
      </c>
      <c r="I4" s="17">
        <f t="shared" ref="I4:I5" si="2">J4*2</f>
        <v>5512</v>
      </c>
      <c r="J4" s="10">
        <v>2756.0</v>
      </c>
      <c r="K4" s="18">
        <v>100000.0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94</v>
      </c>
      <c r="B5" s="10">
        <v>2879.0</v>
      </c>
      <c r="C5" s="10">
        <v>1439.5</v>
      </c>
      <c r="D5" s="103"/>
      <c r="E5" s="6"/>
      <c r="F5" s="99"/>
      <c r="G5" s="26" t="s">
        <v>14</v>
      </c>
      <c r="H5" s="10">
        <f t="shared" si="1"/>
        <v>54504</v>
      </c>
      <c r="I5" s="17">
        <f t="shared" si="2"/>
        <v>4542</v>
      </c>
      <c r="J5" s="10">
        <v>2271.0</v>
      </c>
      <c r="K5" s="18">
        <v>81753.0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2" t="s">
        <v>67</v>
      </c>
      <c r="B6" s="10">
        <v>249.4</v>
      </c>
      <c r="C6" s="10">
        <v>124.7</v>
      </c>
      <c r="D6" s="104"/>
      <c r="E6" s="23"/>
      <c r="F6" s="99"/>
      <c r="G6" s="11"/>
      <c r="H6" s="31"/>
      <c r="I6" s="31"/>
      <c r="J6" s="3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68</v>
      </c>
      <c r="B7" s="31">
        <v>94.0</v>
      </c>
      <c r="C7" s="31">
        <v>47.0</v>
      </c>
      <c r="D7" s="11"/>
      <c r="E7" s="6"/>
      <c r="F7" s="6"/>
      <c r="G7" s="102"/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2" t="s">
        <v>22</v>
      </c>
      <c r="B8" s="10">
        <v>880.0</v>
      </c>
      <c r="C8" s="10">
        <v>440.0</v>
      </c>
      <c r="D8" s="102"/>
      <c r="E8" s="23"/>
      <c r="F8" s="6"/>
      <c r="G8" s="27"/>
      <c r="H8" s="28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95</v>
      </c>
      <c r="B9" s="10">
        <v>80.0</v>
      </c>
      <c r="C9" s="10">
        <v>40.0</v>
      </c>
      <c r="D9" s="102"/>
      <c r="E9" s="23"/>
      <c r="F9" s="6"/>
      <c r="G9" s="29" t="s">
        <v>20</v>
      </c>
      <c r="H9" s="30">
        <f>SUM(H4:H8)</f>
        <v>120648</v>
      </c>
      <c r="I9" s="30">
        <f t="shared" ref="I9:J9" si="3">sum(I4:I8)</f>
        <v>10054</v>
      </c>
      <c r="J9" s="30">
        <f t="shared" si="3"/>
        <v>5027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6" t="s">
        <v>25</v>
      </c>
      <c r="B10" s="22">
        <v>119.0</v>
      </c>
      <c r="C10" s="22">
        <v>58.5</v>
      </c>
      <c r="D10" s="102"/>
      <c r="E10" s="6"/>
      <c r="F10" s="6"/>
      <c r="G10" s="6"/>
      <c r="H10" s="6"/>
      <c r="I10" s="6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26</v>
      </c>
      <c r="B11" s="10">
        <v>70.0</v>
      </c>
      <c r="C11" s="10">
        <v>35.0</v>
      </c>
      <c r="D11" s="102"/>
      <c r="E11" s="6"/>
      <c r="F11" s="6"/>
      <c r="G11" s="33" t="s">
        <v>23</v>
      </c>
      <c r="H11" s="34"/>
      <c r="I11" s="34"/>
      <c r="J11" s="3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70</v>
      </c>
      <c r="B12" s="10">
        <v>102.0</v>
      </c>
      <c r="C12" s="10">
        <v>51.0</v>
      </c>
      <c r="D12" s="102"/>
      <c r="E12" s="6"/>
      <c r="F12" s="6"/>
      <c r="G12" s="34"/>
      <c r="H12" s="36">
        <f>H9-(B31*12)</f>
        <v>9499.2</v>
      </c>
      <c r="I12" s="36">
        <f t="shared" ref="I12:J12" si="4">I9-B31</f>
        <v>791.6</v>
      </c>
      <c r="J12" s="36">
        <f t="shared" si="4"/>
        <v>396.8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72</v>
      </c>
      <c r="B13" s="10">
        <v>180.0</v>
      </c>
      <c r="C13" s="10">
        <v>90.0</v>
      </c>
      <c r="D13" s="102"/>
      <c r="E13" s="6"/>
      <c r="F13" s="6"/>
      <c r="G13" s="37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74</v>
      </c>
      <c r="B14" s="10">
        <v>170.0</v>
      </c>
      <c r="C14" s="10">
        <v>85.0</v>
      </c>
      <c r="D14" s="102"/>
      <c r="E14" s="6"/>
      <c r="F14" s="6"/>
      <c r="G14" s="37"/>
      <c r="H14" s="6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35</v>
      </c>
      <c r="B15" s="10">
        <v>232.0</v>
      </c>
      <c r="C15" s="10">
        <v>116.0</v>
      </c>
      <c r="D15" s="105"/>
      <c r="E15" s="6"/>
      <c r="F15" s="6"/>
      <c r="G15" s="37" t="s">
        <v>96</v>
      </c>
      <c r="H15" s="6"/>
      <c r="I15" s="6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2" t="s">
        <v>75</v>
      </c>
      <c r="B16" s="10">
        <v>300.0</v>
      </c>
      <c r="C16" s="10">
        <v>150.0</v>
      </c>
      <c r="D16" s="103"/>
      <c r="E16" s="6"/>
      <c r="F16" s="6"/>
      <c r="G16" s="23"/>
      <c r="H16" s="6"/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6" t="s">
        <v>79</v>
      </c>
      <c r="B17" s="106">
        <v>381.0</v>
      </c>
      <c r="C17" s="107">
        <v>190.5</v>
      </c>
      <c r="D17" s="108"/>
      <c r="E17" s="23" t="s">
        <v>97</v>
      </c>
      <c r="F17" s="6"/>
      <c r="G17" s="23"/>
      <c r="H17" s="6"/>
      <c r="I17" s="6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6" t="s">
        <v>84</v>
      </c>
      <c r="B18" s="107">
        <v>444.0</v>
      </c>
      <c r="C18" s="106">
        <v>222.0</v>
      </c>
      <c r="D18" s="106"/>
      <c r="E18" s="19" t="s">
        <v>85</v>
      </c>
      <c r="F18" s="6"/>
      <c r="G18" s="23"/>
      <c r="H18" s="23"/>
      <c r="I18" s="23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9" t="s">
        <v>89</v>
      </c>
      <c r="B19" s="10">
        <v>400.0</v>
      </c>
      <c r="C19" s="10">
        <v>200.0</v>
      </c>
      <c r="D19" s="103"/>
      <c r="E19" s="19"/>
      <c r="F19" s="6"/>
      <c r="G19" s="37" t="s">
        <v>98</v>
      </c>
      <c r="H19" s="23"/>
      <c r="I19" s="23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99</v>
      </c>
      <c r="B20" s="10">
        <v>264.0</v>
      </c>
      <c r="C20" s="10">
        <v>132.0</v>
      </c>
      <c r="D20" s="103"/>
      <c r="F20" s="6"/>
      <c r="G20" s="6"/>
      <c r="H20" s="6"/>
      <c r="I20" s="6"/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 t="s">
        <v>100</v>
      </c>
      <c r="B21" s="15">
        <v>61.0</v>
      </c>
      <c r="C21" s="15">
        <v>30.5</v>
      </c>
      <c r="D21" s="103"/>
      <c r="E21" s="23"/>
      <c r="F21" s="6"/>
      <c r="G21" s="6"/>
      <c r="H21" s="6"/>
      <c r="I21" s="6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 t="s">
        <v>101</v>
      </c>
      <c r="B22" s="15">
        <v>40.0</v>
      </c>
      <c r="C22" s="15">
        <v>20.0</v>
      </c>
      <c r="D22" s="103"/>
      <c r="F22" s="6"/>
      <c r="G22" s="23" t="s">
        <v>81</v>
      </c>
      <c r="H22" s="6"/>
      <c r="I22" s="6"/>
      <c r="J22" s="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 t="s">
        <v>102</v>
      </c>
      <c r="B23" s="15">
        <v>47.0</v>
      </c>
      <c r="C23" s="35">
        <v>23.5</v>
      </c>
      <c r="D23" s="103"/>
      <c r="E23" s="23"/>
      <c r="F23" s="6"/>
      <c r="G23" s="6"/>
      <c r="H23" s="23" t="s">
        <v>83</v>
      </c>
      <c r="I23" s="6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 t="s">
        <v>103</v>
      </c>
      <c r="B24" s="35">
        <v>80.0</v>
      </c>
      <c r="C24" s="35">
        <v>40.0</v>
      </c>
      <c r="D24" s="103"/>
      <c r="E24" s="6"/>
      <c r="F24" s="6"/>
      <c r="G24" s="6"/>
      <c r="H24" s="23" t="s">
        <v>86</v>
      </c>
      <c r="I24" s="6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 t="s">
        <v>24</v>
      </c>
      <c r="B25" s="35">
        <v>15.0</v>
      </c>
      <c r="C25" s="35">
        <v>7.5</v>
      </c>
      <c r="D25" s="103"/>
      <c r="E25" s="23"/>
      <c r="F25" s="6"/>
      <c r="G25" s="6"/>
      <c r="H25" s="6"/>
      <c r="I25" s="6"/>
      <c r="J25" s="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 t="s">
        <v>104</v>
      </c>
      <c r="B26" s="20">
        <v>68.0</v>
      </c>
      <c r="C26" s="20">
        <v>34.0</v>
      </c>
      <c r="D26" s="103"/>
      <c r="E26" s="6"/>
      <c r="F26" s="6"/>
      <c r="G26" s="6"/>
      <c r="H26" s="6"/>
      <c r="I26" s="6"/>
      <c r="J26" s="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4"/>
      <c r="B27" s="44"/>
      <c r="C27" s="44"/>
      <c r="D27" s="103"/>
      <c r="E27" s="23"/>
      <c r="F27" s="23"/>
      <c r="G27" s="6"/>
      <c r="H27" s="6"/>
      <c r="I27" s="6"/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4"/>
      <c r="B28" s="44"/>
      <c r="C28" s="44"/>
      <c r="D28" s="30"/>
      <c r="E28" s="23"/>
      <c r="F28" s="23"/>
      <c r="G28" s="6"/>
      <c r="H28" s="6"/>
      <c r="I28" s="6"/>
      <c r="J28" s="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4"/>
      <c r="B29" s="44"/>
      <c r="C29" s="44"/>
      <c r="D29" s="30"/>
      <c r="E29" s="23"/>
      <c r="F29" s="6"/>
      <c r="G29" s="23"/>
      <c r="H29" s="6"/>
      <c r="I29" s="6"/>
      <c r="J29" s="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/>
      <c r="B30" s="15"/>
      <c r="C30" s="15"/>
      <c r="D30" s="30"/>
      <c r="E30" s="23"/>
      <c r="F30" s="6"/>
      <c r="G30" s="6"/>
      <c r="H30" s="6"/>
      <c r="I30" s="6"/>
      <c r="J30" s="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9" t="s">
        <v>20</v>
      </c>
      <c r="B31" s="30">
        <f>SUM(B3:B30)</f>
        <v>9262.4</v>
      </c>
      <c r="C31" s="30">
        <f>sum(C3:C30)</f>
        <v>4630.2</v>
      </c>
      <c r="D31" s="30"/>
      <c r="E31" s="6"/>
      <c r="F31" s="6"/>
      <c r="G31" s="6"/>
      <c r="H31" s="6"/>
      <c r="I31" s="6"/>
      <c r="J31" s="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  <col customWidth="1" min="4" max="4" width="9.5"/>
    <col customWidth="1" min="6" max="6" width="20.38"/>
  </cols>
  <sheetData>
    <row r="1">
      <c r="A1" s="95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4" t="s">
        <v>2</v>
      </c>
      <c r="D2" s="5" t="s">
        <v>105</v>
      </c>
      <c r="E2" s="6"/>
      <c r="F2" s="6"/>
      <c r="G2" s="96" t="s">
        <v>55</v>
      </c>
      <c r="H2" s="97"/>
      <c r="I2" s="97"/>
      <c r="J2" s="9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56</v>
      </c>
      <c r="B3" s="10">
        <v>1907.0</v>
      </c>
      <c r="C3" s="10">
        <v>953.5</v>
      </c>
      <c r="D3" s="98"/>
      <c r="E3" s="6"/>
      <c r="F3" s="99"/>
      <c r="G3" s="100"/>
      <c r="H3" s="101" t="s">
        <v>58</v>
      </c>
      <c r="I3" s="101" t="s">
        <v>1</v>
      </c>
      <c r="J3" s="101" t="s">
        <v>2</v>
      </c>
      <c r="K3" s="14" t="s">
        <v>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5" t="s">
        <v>59</v>
      </c>
      <c r="B4" s="15">
        <v>200.0</v>
      </c>
      <c r="C4" s="15">
        <v>100.0</v>
      </c>
      <c r="D4" s="15">
        <v>45400.0</v>
      </c>
      <c r="E4" s="23"/>
      <c r="F4" s="99"/>
      <c r="G4" s="102" t="s">
        <v>11</v>
      </c>
      <c r="H4" s="10">
        <f t="shared" ref="H4:H5" si="1">I4*12</f>
        <v>63456</v>
      </c>
      <c r="I4" s="17">
        <f t="shared" ref="I4:I5" si="2">J4*2</f>
        <v>5288</v>
      </c>
      <c r="J4" s="10">
        <v>2644.0</v>
      </c>
      <c r="K4" s="18">
        <v>100000.0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94</v>
      </c>
      <c r="B5" s="10">
        <v>2879.0</v>
      </c>
      <c r="C5" s="10">
        <v>1439.5</v>
      </c>
      <c r="D5" s="103"/>
      <c r="E5" s="6"/>
      <c r="F5" s="99"/>
      <c r="G5" s="26" t="s">
        <v>14</v>
      </c>
      <c r="H5" s="10">
        <f t="shared" si="1"/>
        <v>61728</v>
      </c>
      <c r="I5" s="17">
        <f t="shared" si="2"/>
        <v>5144</v>
      </c>
      <c r="J5" s="10">
        <v>2572.0</v>
      </c>
      <c r="K5" s="18">
        <v>96477.0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19</v>
      </c>
      <c r="B6" s="10">
        <v>242.0</v>
      </c>
      <c r="C6" s="10">
        <v>121.0</v>
      </c>
      <c r="D6" s="11"/>
      <c r="E6" s="23"/>
      <c r="F6" s="99"/>
      <c r="G6" s="11"/>
      <c r="H6" s="31"/>
      <c r="I6" s="31"/>
      <c r="J6" s="3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21</v>
      </c>
      <c r="B7" s="31">
        <v>115.0</v>
      </c>
      <c r="C7" s="31">
        <v>57.5</v>
      </c>
      <c r="D7" s="102"/>
      <c r="E7" s="6"/>
      <c r="F7" s="6"/>
      <c r="G7" s="102"/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2" t="s">
        <v>22</v>
      </c>
      <c r="B8" s="10">
        <v>1000.0</v>
      </c>
      <c r="C8" s="10">
        <v>500.0</v>
      </c>
      <c r="D8" s="102"/>
      <c r="E8" s="23"/>
      <c r="F8" s="6"/>
      <c r="G8" s="27"/>
      <c r="H8" s="28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95</v>
      </c>
      <c r="B9" s="10">
        <v>50.0</v>
      </c>
      <c r="C9" s="10">
        <v>25.0</v>
      </c>
      <c r="D9" s="102"/>
      <c r="E9" s="23"/>
      <c r="F9" s="6"/>
      <c r="G9" s="29" t="s">
        <v>20</v>
      </c>
      <c r="H9" s="30">
        <f>SUM(H4:H8)</f>
        <v>125184</v>
      </c>
      <c r="I9" s="30">
        <f t="shared" ref="I9:J9" si="3">sum(I4:I8)</f>
        <v>10432</v>
      </c>
      <c r="J9" s="30">
        <f t="shared" si="3"/>
        <v>5216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6" t="s">
        <v>25</v>
      </c>
      <c r="B10" s="22">
        <v>119.0</v>
      </c>
      <c r="C10" s="22">
        <v>58.5</v>
      </c>
      <c r="D10" s="102"/>
      <c r="E10" s="6"/>
      <c r="F10" s="6"/>
      <c r="G10" s="6"/>
      <c r="H10" s="6"/>
      <c r="I10" s="6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26</v>
      </c>
      <c r="B11" s="10">
        <v>70.0</v>
      </c>
      <c r="C11" s="10">
        <v>35.0</v>
      </c>
      <c r="D11" s="102"/>
      <c r="E11" s="6"/>
      <c r="F11" s="6"/>
      <c r="G11" s="33" t="s">
        <v>23</v>
      </c>
      <c r="H11" s="34"/>
      <c r="I11" s="34"/>
      <c r="J11" s="3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106</v>
      </c>
      <c r="B12" s="10">
        <v>100.0</v>
      </c>
      <c r="C12" s="10">
        <v>50.0</v>
      </c>
      <c r="D12" s="102"/>
      <c r="E12" s="6"/>
      <c r="F12" s="6"/>
      <c r="G12" s="34"/>
      <c r="H12" s="36">
        <f>H9-(B27*12)</f>
        <v>15696</v>
      </c>
      <c r="I12" s="36">
        <f t="shared" ref="I12:J12" si="4">I9-B27</f>
        <v>1308</v>
      </c>
      <c r="J12" s="36">
        <f t="shared" si="4"/>
        <v>705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72</v>
      </c>
      <c r="B13" s="10">
        <v>180.0</v>
      </c>
      <c r="C13" s="10">
        <v>90.0</v>
      </c>
      <c r="D13" s="102"/>
      <c r="E13" s="6"/>
      <c r="F13" s="6"/>
      <c r="G13" s="37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74</v>
      </c>
      <c r="B14" s="10">
        <v>330.0</v>
      </c>
      <c r="C14" s="10">
        <v>115.0</v>
      </c>
      <c r="D14" s="105"/>
      <c r="E14" s="6"/>
      <c r="F14" s="6"/>
      <c r="G14" s="37"/>
      <c r="H14" s="6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35</v>
      </c>
      <c r="B15" s="10">
        <v>232.0</v>
      </c>
      <c r="C15" s="10">
        <v>116.0</v>
      </c>
      <c r="D15" s="103"/>
      <c r="E15" s="6"/>
      <c r="F15" s="6"/>
      <c r="G15" s="37"/>
      <c r="H15" s="6"/>
      <c r="I15" s="6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2" t="s">
        <v>75</v>
      </c>
      <c r="B16" s="20">
        <v>300.0</v>
      </c>
      <c r="C16" s="10">
        <v>150.0</v>
      </c>
      <c r="D16" s="15"/>
      <c r="E16" s="6"/>
      <c r="F16" s="6"/>
      <c r="G16" s="23"/>
      <c r="H16" s="6"/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6" t="s">
        <v>79</v>
      </c>
      <c r="B17" s="106">
        <v>381.0</v>
      </c>
      <c r="C17" s="107">
        <v>190.5</v>
      </c>
      <c r="D17" s="108"/>
      <c r="E17" s="23" t="s">
        <v>97</v>
      </c>
      <c r="F17" s="6"/>
      <c r="G17" s="23"/>
      <c r="H17" s="6"/>
      <c r="I17" s="6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6" t="s">
        <v>84</v>
      </c>
      <c r="B18" s="107">
        <v>444.0</v>
      </c>
      <c r="C18" s="106">
        <v>222.0</v>
      </c>
      <c r="D18" s="106"/>
      <c r="E18" s="19" t="s">
        <v>85</v>
      </c>
      <c r="F18" s="6"/>
      <c r="G18" s="23"/>
      <c r="H18" s="23"/>
      <c r="I18" s="23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9" t="s">
        <v>89</v>
      </c>
      <c r="B19" s="22"/>
      <c r="C19" s="22"/>
      <c r="D19" s="103"/>
      <c r="F19" s="6"/>
      <c r="G19" s="37"/>
      <c r="H19" s="23"/>
      <c r="I19" s="23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107</v>
      </c>
      <c r="B20" s="10">
        <v>264.0</v>
      </c>
      <c r="C20" s="10">
        <v>132.0</v>
      </c>
      <c r="D20" s="103"/>
      <c r="F20" s="6"/>
      <c r="G20" s="6"/>
      <c r="H20" s="6"/>
      <c r="I20" s="6"/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 t="s">
        <v>100</v>
      </c>
      <c r="B21" s="15">
        <v>61.0</v>
      </c>
      <c r="C21" s="15">
        <v>30.5</v>
      </c>
      <c r="D21" s="103"/>
      <c r="E21" s="23"/>
      <c r="F21" s="6"/>
      <c r="G21" s="6"/>
      <c r="H21" s="6"/>
      <c r="I21" s="6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 t="s">
        <v>101</v>
      </c>
      <c r="B22" s="15">
        <v>40.0</v>
      </c>
      <c r="C22" s="15">
        <v>20.0</v>
      </c>
      <c r="D22" s="103"/>
      <c r="F22" s="6"/>
      <c r="G22" s="23"/>
      <c r="H22" s="6"/>
      <c r="I22" s="6"/>
      <c r="J22" s="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 t="s">
        <v>102</v>
      </c>
      <c r="B23" s="15">
        <v>47.0</v>
      </c>
      <c r="C23" s="35">
        <v>23.5</v>
      </c>
      <c r="D23" s="103"/>
      <c r="E23" s="23"/>
      <c r="F23" s="6"/>
      <c r="G23" s="6"/>
      <c r="H23" s="23"/>
      <c r="I23" s="6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 t="s">
        <v>103</v>
      </c>
      <c r="B24" s="35">
        <v>80.0</v>
      </c>
      <c r="C24" s="35">
        <v>40.0</v>
      </c>
      <c r="D24" s="103"/>
      <c r="E24" s="23"/>
      <c r="F24" s="6"/>
      <c r="G24" s="6"/>
      <c r="H24" s="23"/>
      <c r="I24" s="6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 t="s">
        <v>24</v>
      </c>
      <c r="B25" s="35">
        <v>15.0</v>
      </c>
      <c r="C25" s="35">
        <v>7.5</v>
      </c>
      <c r="D25" s="103"/>
      <c r="E25" s="6"/>
      <c r="F25" s="6"/>
      <c r="G25" s="6"/>
      <c r="H25" s="23"/>
      <c r="I25" s="6"/>
      <c r="J25" s="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 t="s">
        <v>104</v>
      </c>
      <c r="B26" s="20">
        <v>68.0</v>
      </c>
      <c r="C26" s="20">
        <v>34.0</v>
      </c>
      <c r="D26" s="30"/>
      <c r="E26" s="23"/>
      <c r="F26" s="6"/>
      <c r="G26" s="6"/>
      <c r="H26" s="6"/>
      <c r="I26" s="6"/>
      <c r="J26" s="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9" t="s">
        <v>20</v>
      </c>
      <c r="B27" s="30">
        <f>SUM(B3:B26)</f>
        <v>9124</v>
      </c>
      <c r="C27" s="30">
        <f>sum(C3:C26)</f>
        <v>4511</v>
      </c>
      <c r="D27" s="28">
        <v>2243.0</v>
      </c>
      <c r="E27" s="6"/>
      <c r="F27" s="6"/>
      <c r="G27" s="6"/>
      <c r="H27" s="6"/>
      <c r="I27" s="6"/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4" max="4" width="9.5"/>
  </cols>
  <sheetData>
    <row r="1">
      <c r="A1" s="95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B2" s="4" t="s">
        <v>1</v>
      </c>
      <c r="C2" s="4" t="s">
        <v>2</v>
      </c>
      <c r="D2" s="5" t="s">
        <v>54</v>
      </c>
      <c r="E2" s="6"/>
      <c r="F2" s="96" t="s">
        <v>55</v>
      </c>
      <c r="G2" s="97"/>
      <c r="H2" s="97"/>
      <c r="I2" s="9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9" t="s">
        <v>109</v>
      </c>
      <c r="B3" s="10">
        <v>2900.0</v>
      </c>
      <c r="C3" s="10">
        <v>1450.0</v>
      </c>
      <c r="D3" s="98"/>
      <c r="E3" s="6"/>
      <c r="F3" s="12"/>
      <c r="G3" s="110" t="s">
        <v>6</v>
      </c>
      <c r="H3" s="101" t="s">
        <v>1</v>
      </c>
      <c r="I3" s="101" t="s">
        <v>2</v>
      </c>
      <c r="J3" s="14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5" t="s">
        <v>59</v>
      </c>
      <c r="B4" s="15">
        <v>200.0</v>
      </c>
      <c r="C4" s="15">
        <v>100.0</v>
      </c>
      <c r="D4" s="15">
        <v>45400.0</v>
      </c>
      <c r="E4" s="6"/>
      <c r="F4" s="16" t="s">
        <v>11</v>
      </c>
      <c r="G4" s="10">
        <f t="shared" ref="G4:G5" si="1">H4*12</f>
        <v>69216</v>
      </c>
      <c r="H4" s="17">
        <f t="shared" ref="H4:H5" si="2">I4*2</f>
        <v>5768</v>
      </c>
      <c r="I4" s="10">
        <v>2884.0</v>
      </c>
      <c r="J4" s="18">
        <v>100000.0</v>
      </c>
      <c r="K4" s="19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9" t="s">
        <v>94</v>
      </c>
      <c r="B5" s="10">
        <v>2879.0</v>
      </c>
      <c r="C5" s="10">
        <v>1439.5</v>
      </c>
      <c r="D5" s="103"/>
      <c r="E5" s="6"/>
      <c r="F5" s="21" t="s">
        <v>14</v>
      </c>
      <c r="G5" s="10">
        <f t="shared" si="1"/>
        <v>61728</v>
      </c>
      <c r="H5" s="17">
        <f t="shared" si="2"/>
        <v>5144</v>
      </c>
      <c r="I5" s="10">
        <v>2572.0</v>
      </c>
      <c r="J5" s="18">
        <v>96477.0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9" t="s">
        <v>19</v>
      </c>
      <c r="B6" s="10">
        <v>242.0</v>
      </c>
      <c r="C6" s="10">
        <v>121.0</v>
      </c>
      <c r="D6" s="11"/>
      <c r="E6" s="23" t="s">
        <v>110</v>
      </c>
      <c r="F6" s="111"/>
      <c r="G6" s="31"/>
      <c r="H6" s="31"/>
      <c r="I6" s="3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 t="s">
        <v>21</v>
      </c>
      <c r="B7" s="31">
        <v>115.0</v>
      </c>
      <c r="C7" s="31">
        <v>57.5</v>
      </c>
      <c r="D7" s="102"/>
      <c r="E7" s="23" t="s">
        <v>110</v>
      </c>
      <c r="F7" s="16"/>
      <c r="G7" s="10"/>
      <c r="H7" s="10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2" t="s">
        <v>22</v>
      </c>
      <c r="B8" s="10">
        <v>1000.0</v>
      </c>
      <c r="C8" s="10">
        <v>500.0</v>
      </c>
      <c r="D8" s="102"/>
      <c r="E8" s="23"/>
      <c r="F8" s="27"/>
      <c r="G8" s="28"/>
      <c r="H8" s="10"/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 t="s">
        <v>95</v>
      </c>
      <c r="B9" s="10">
        <v>100.0</v>
      </c>
      <c r="C9" s="10">
        <v>50.0</v>
      </c>
      <c r="D9" s="102"/>
      <c r="E9" s="23"/>
      <c r="F9" s="29" t="s">
        <v>20</v>
      </c>
      <c r="G9" s="30">
        <f>SUM(G4:G8)</f>
        <v>130944</v>
      </c>
      <c r="H9" s="30">
        <f t="shared" ref="H9:I9" si="3">sum(H4:H8)</f>
        <v>10912</v>
      </c>
      <c r="I9" s="30">
        <f t="shared" si="3"/>
        <v>5456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6" t="s">
        <v>25</v>
      </c>
      <c r="B10" s="22">
        <v>119.0</v>
      </c>
      <c r="C10" s="22">
        <v>58.5</v>
      </c>
      <c r="D10" s="102"/>
      <c r="E10" s="6"/>
      <c r="F10" s="6"/>
      <c r="G10" s="6"/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9" t="s">
        <v>26</v>
      </c>
      <c r="B11" s="10">
        <v>70.0</v>
      </c>
      <c r="C11" s="10">
        <v>35.0</v>
      </c>
      <c r="D11" s="102"/>
      <c r="E11" s="6"/>
      <c r="F11" s="33" t="s">
        <v>23</v>
      </c>
      <c r="G11" s="34"/>
      <c r="H11" s="34"/>
      <c r="I11" s="3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9" t="s">
        <v>111</v>
      </c>
      <c r="B12" s="10">
        <v>100.0</v>
      </c>
      <c r="C12" s="10">
        <v>50.0</v>
      </c>
      <c r="D12" s="102"/>
      <c r="E12" s="23" t="s">
        <v>110</v>
      </c>
      <c r="F12" s="34"/>
      <c r="G12" s="36">
        <f>G9-(B27*12)</f>
        <v>21576</v>
      </c>
      <c r="H12" s="36">
        <f t="shared" ref="H12:I12" si="4">H9-B27</f>
        <v>1798</v>
      </c>
      <c r="I12" s="36">
        <f t="shared" si="4"/>
        <v>900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9" t="s">
        <v>72</v>
      </c>
      <c r="B13" s="10">
        <v>180.0</v>
      </c>
      <c r="C13" s="10">
        <v>90.0</v>
      </c>
      <c r="D13" s="102"/>
      <c r="E13" s="6"/>
      <c r="F13" s="37"/>
      <c r="G13" s="6"/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9" t="s">
        <v>74</v>
      </c>
      <c r="B14" s="10">
        <v>250.0</v>
      </c>
      <c r="C14" s="10">
        <v>125.0</v>
      </c>
      <c r="D14" s="105"/>
      <c r="E14" s="6"/>
      <c r="F14" s="37"/>
      <c r="G14" s="6"/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9" t="s">
        <v>35</v>
      </c>
      <c r="B15" s="10">
        <v>232.0</v>
      </c>
      <c r="C15" s="10">
        <v>116.0</v>
      </c>
      <c r="D15" s="103"/>
      <c r="E15" s="6"/>
      <c r="F15" s="37"/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2" t="s">
        <v>75</v>
      </c>
      <c r="B16" s="10">
        <v>152.0</v>
      </c>
      <c r="C16" s="10">
        <v>76.0</v>
      </c>
      <c r="D16" s="15"/>
      <c r="E16" s="6"/>
      <c r="F16" s="37" t="s">
        <v>112</v>
      </c>
      <c r="G16" s="6"/>
      <c r="H16" s="6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5" t="s">
        <v>107</v>
      </c>
      <c r="B17" s="10">
        <v>264.0</v>
      </c>
      <c r="C17" s="10">
        <v>132.0</v>
      </c>
      <c r="D17" s="103"/>
      <c r="E17" s="23"/>
      <c r="F17" s="23" t="s">
        <v>113</v>
      </c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5" t="s">
        <v>39</v>
      </c>
      <c r="B18" s="15">
        <v>61.0</v>
      </c>
      <c r="C18" s="15">
        <v>30.5</v>
      </c>
      <c r="D18" s="103"/>
      <c r="E18" s="19"/>
      <c r="F18" s="23" t="s">
        <v>114</v>
      </c>
      <c r="G18" s="23"/>
      <c r="H18" s="23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5" t="s">
        <v>46</v>
      </c>
      <c r="B19" s="15">
        <v>40.0</v>
      </c>
      <c r="C19" s="15">
        <v>20.0</v>
      </c>
      <c r="D19" s="103"/>
      <c r="F19" s="23" t="s">
        <v>115</v>
      </c>
      <c r="G19" s="23"/>
      <c r="H19" s="23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5" t="s">
        <v>102</v>
      </c>
      <c r="B20" s="15">
        <v>47.0</v>
      </c>
      <c r="C20" s="35">
        <v>23.5</v>
      </c>
      <c r="D20" s="103"/>
      <c r="F20" s="23" t="s">
        <v>116</v>
      </c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5" t="s">
        <v>103</v>
      </c>
      <c r="B21" s="35">
        <v>80.0</v>
      </c>
      <c r="C21" s="35">
        <v>40.0</v>
      </c>
      <c r="D21" s="103"/>
      <c r="E21" s="23"/>
      <c r="F21" s="23" t="s">
        <v>31</v>
      </c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5" t="s">
        <v>24</v>
      </c>
      <c r="B22" s="35">
        <v>15.0</v>
      </c>
      <c r="C22" s="35">
        <v>7.5</v>
      </c>
      <c r="D22" s="103"/>
      <c r="E22" s="23"/>
      <c r="F22" s="6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0" t="s">
        <v>104</v>
      </c>
      <c r="B23" s="20">
        <v>68.0</v>
      </c>
      <c r="C23" s="20">
        <v>34.0</v>
      </c>
      <c r="D23" s="44"/>
      <c r="F23" s="23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44"/>
      <c r="B24" s="44"/>
      <c r="C24" s="44"/>
      <c r="D24" s="44"/>
      <c r="E24" s="23"/>
      <c r="F24" s="6"/>
      <c r="G24" s="23"/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44"/>
      <c r="B25" s="44"/>
      <c r="C25" s="44"/>
      <c r="D25" s="44"/>
      <c r="E25" s="6"/>
      <c r="F25" s="6"/>
      <c r="G25" s="23"/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5"/>
      <c r="B26" s="15"/>
      <c r="C26" s="15"/>
      <c r="D26" s="30"/>
      <c r="E26" s="23"/>
      <c r="F26" s="6"/>
      <c r="G26" s="6"/>
      <c r="H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9" t="s">
        <v>20</v>
      </c>
      <c r="B27" s="30">
        <f>SUM(B3:B26)</f>
        <v>9114</v>
      </c>
      <c r="C27" s="30">
        <f>sum(C3:C26)</f>
        <v>4556</v>
      </c>
      <c r="D27" s="30"/>
      <c r="E27" s="6"/>
      <c r="F27" s="6"/>
      <c r="G27" s="6"/>
      <c r="H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6" max="6" width="19.88"/>
  </cols>
  <sheetData>
    <row r="1">
      <c r="A1" s="38" t="s">
        <v>117</v>
      </c>
    </row>
    <row r="2">
      <c r="A2" s="46" t="s">
        <v>0</v>
      </c>
      <c r="B2" s="47" t="s">
        <v>1</v>
      </c>
      <c r="C2" s="47" t="s">
        <v>2</v>
      </c>
      <c r="D2" s="48" t="s">
        <v>54</v>
      </c>
      <c r="E2" s="49"/>
      <c r="F2" s="49"/>
      <c r="G2" s="50" t="s">
        <v>55</v>
      </c>
      <c r="H2" s="51"/>
      <c r="I2" s="51"/>
      <c r="J2" s="51"/>
    </row>
    <row r="3">
      <c r="A3" s="52" t="s">
        <v>56</v>
      </c>
      <c r="B3" s="53">
        <v>1907.0</v>
      </c>
      <c r="C3" s="53">
        <v>953.5</v>
      </c>
      <c r="D3" s="54"/>
      <c r="E3" s="49"/>
      <c r="F3" s="55"/>
      <c r="G3" s="112" t="s">
        <v>93</v>
      </c>
      <c r="H3" s="57" t="s">
        <v>58</v>
      </c>
      <c r="I3" s="57" t="s">
        <v>1</v>
      </c>
      <c r="J3" s="57" t="s">
        <v>2</v>
      </c>
      <c r="K3" s="58" t="s">
        <v>9</v>
      </c>
    </row>
    <row r="4">
      <c r="A4" s="59" t="s">
        <v>59</v>
      </c>
      <c r="B4" s="59">
        <v>200.0</v>
      </c>
      <c r="C4" s="59">
        <v>100.0</v>
      </c>
      <c r="D4" s="113">
        <v>45400.0</v>
      </c>
      <c r="E4" s="49"/>
      <c r="F4" s="55"/>
      <c r="G4" s="60" t="s">
        <v>11</v>
      </c>
      <c r="H4" s="53">
        <f t="shared" ref="H4:H6" si="1">I4*12</f>
        <v>51048</v>
      </c>
      <c r="I4" s="61">
        <f t="shared" ref="I4:I5" si="2">J4*2</f>
        <v>4254</v>
      </c>
      <c r="J4" s="53">
        <v>2127.0</v>
      </c>
      <c r="K4" s="62">
        <v>75000.0</v>
      </c>
    </row>
    <row r="5">
      <c r="A5" s="52" t="s">
        <v>118</v>
      </c>
      <c r="B5" s="53">
        <v>1654.0</v>
      </c>
      <c r="C5" s="53">
        <v>827.0</v>
      </c>
      <c r="D5" s="63"/>
      <c r="E5" s="49"/>
      <c r="F5" s="55"/>
      <c r="G5" s="64" t="s">
        <v>14</v>
      </c>
      <c r="H5" s="53">
        <f t="shared" si="1"/>
        <v>54024</v>
      </c>
      <c r="I5" s="61">
        <f t="shared" si="2"/>
        <v>4502</v>
      </c>
      <c r="J5" s="53">
        <v>2251.0</v>
      </c>
      <c r="K5" s="62">
        <v>81753.0</v>
      </c>
      <c r="L5" s="38" t="s">
        <v>61</v>
      </c>
      <c r="M5" s="38" t="s">
        <v>62</v>
      </c>
    </row>
    <row r="6">
      <c r="A6" s="65" t="s">
        <v>63</v>
      </c>
      <c r="B6" s="66">
        <v>700.0</v>
      </c>
      <c r="C6" s="59">
        <v>350.0</v>
      </c>
      <c r="D6" s="67"/>
      <c r="E6" s="68"/>
      <c r="F6" s="55"/>
      <c r="G6" s="69" t="s">
        <v>119</v>
      </c>
      <c r="H6" s="70">
        <f t="shared" si="1"/>
        <v>7800</v>
      </c>
      <c r="I6" s="70">
        <v>650.0</v>
      </c>
      <c r="J6" s="70">
        <v>325.0</v>
      </c>
    </row>
    <row r="7">
      <c r="A7" s="59" t="s">
        <v>64</v>
      </c>
      <c r="B7" s="59">
        <v>88.0</v>
      </c>
      <c r="C7" s="59">
        <v>44.0</v>
      </c>
      <c r="D7" s="60"/>
      <c r="E7" s="49"/>
      <c r="F7" s="55"/>
      <c r="G7" s="60"/>
      <c r="H7" s="53"/>
      <c r="I7" s="53"/>
      <c r="J7" s="53"/>
    </row>
    <row r="8">
      <c r="A8" s="59" t="s">
        <v>120</v>
      </c>
      <c r="B8" s="59">
        <v>133.33</v>
      </c>
      <c r="C8" s="59">
        <v>66.67</v>
      </c>
      <c r="D8" s="69"/>
      <c r="E8" s="71"/>
      <c r="F8" s="49"/>
      <c r="G8" s="72"/>
      <c r="H8" s="73"/>
      <c r="I8" s="53"/>
      <c r="J8" s="53"/>
    </row>
    <row r="9">
      <c r="A9" s="74" t="s">
        <v>67</v>
      </c>
      <c r="B9" s="53">
        <v>249.4</v>
      </c>
      <c r="C9" s="53">
        <v>124.7</v>
      </c>
      <c r="D9" s="60"/>
      <c r="E9" s="71" t="s">
        <v>121</v>
      </c>
      <c r="F9" s="49"/>
      <c r="G9" s="75" t="s">
        <v>20</v>
      </c>
      <c r="H9" s="76">
        <f>SUM(H4:H8)</f>
        <v>112872</v>
      </c>
      <c r="I9" s="76">
        <f t="shared" ref="I9:J9" si="3">sum(I4:I8)</f>
        <v>9406</v>
      </c>
      <c r="J9" s="76">
        <f t="shared" si="3"/>
        <v>4703</v>
      </c>
    </row>
    <row r="10">
      <c r="A10" s="69" t="s">
        <v>68</v>
      </c>
      <c r="B10" s="70"/>
      <c r="C10" s="70"/>
      <c r="D10" s="60"/>
      <c r="E10" s="71" t="s">
        <v>122</v>
      </c>
      <c r="F10" s="49"/>
      <c r="G10" s="49"/>
      <c r="H10" s="49"/>
      <c r="I10" s="49"/>
      <c r="J10" s="49"/>
    </row>
    <row r="11">
      <c r="A11" s="74" t="s">
        <v>22</v>
      </c>
      <c r="B11" s="53">
        <v>880.0</v>
      </c>
      <c r="C11" s="53">
        <v>440.0</v>
      </c>
      <c r="D11" s="60"/>
      <c r="E11" s="71"/>
      <c r="F11" s="49"/>
      <c r="G11" s="77" t="s">
        <v>23</v>
      </c>
      <c r="H11" s="78"/>
      <c r="I11" s="78"/>
      <c r="J11" s="78"/>
    </row>
    <row r="12">
      <c r="A12" s="52" t="s">
        <v>123</v>
      </c>
      <c r="B12" s="53">
        <v>80.0</v>
      </c>
      <c r="C12" s="53">
        <v>40.0</v>
      </c>
      <c r="D12" s="60"/>
      <c r="E12" s="49"/>
      <c r="F12" s="49"/>
      <c r="G12" s="78"/>
      <c r="H12" s="79">
        <f>H9-(B31*12)</f>
        <v>10996.08</v>
      </c>
      <c r="I12" s="79">
        <f t="shared" ref="I12:J12" si="4">I9-B31</f>
        <v>916.34</v>
      </c>
      <c r="J12" s="79">
        <f t="shared" si="4"/>
        <v>458.13</v>
      </c>
    </row>
    <row r="13">
      <c r="A13" s="80" t="s">
        <v>25</v>
      </c>
      <c r="B13" s="66">
        <v>114.0</v>
      </c>
      <c r="C13" s="66">
        <v>57.0</v>
      </c>
      <c r="D13" s="60"/>
      <c r="E13" s="49"/>
      <c r="F13" s="49"/>
      <c r="G13" s="81"/>
      <c r="H13" s="49"/>
      <c r="I13" s="49"/>
      <c r="J13" s="49"/>
    </row>
    <row r="14">
      <c r="A14" s="52" t="s">
        <v>26</v>
      </c>
      <c r="B14" s="53">
        <v>70.0</v>
      </c>
      <c r="C14" s="53">
        <v>35.0</v>
      </c>
      <c r="D14" s="60"/>
      <c r="E14" s="49"/>
      <c r="F14" s="49"/>
      <c r="G14" s="81"/>
      <c r="H14" s="49"/>
      <c r="I14" s="49"/>
      <c r="J14" s="49"/>
    </row>
    <row r="15">
      <c r="A15" s="52" t="s">
        <v>70</v>
      </c>
      <c r="B15" s="53">
        <v>101.22</v>
      </c>
      <c r="C15" s="53">
        <v>50.61</v>
      </c>
      <c r="D15" s="60"/>
      <c r="E15" s="49"/>
      <c r="F15" s="49"/>
      <c r="G15" s="81" t="s">
        <v>96</v>
      </c>
      <c r="H15" s="49"/>
      <c r="I15" s="49"/>
      <c r="J15" s="49"/>
    </row>
    <row r="16">
      <c r="A16" s="52" t="s">
        <v>72</v>
      </c>
      <c r="B16" s="53">
        <v>180.0</v>
      </c>
      <c r="C16" s="53">
        <v>90.0</v>
      </c>
      <c r="D16" s="84"/>
      <c r="E16" s="49"/>
      <c r="F16" s="49"/>
      <c r="G16" s="71"/>
      <c r="H16" s="49"/>
      <c r="I16" s="49"/>
      <c r="J16" s="49"/>
    </row>
    <row r="17">
      <c r="A17" s="52" t="s">
        <v>74</v>
      </c>
      <c r="B17" s="53">
        <v>200.0</v>
      </c>
      <c r="C17" s="53">
        <v>100.0</v>
      </c>
      <c r="D17" s="63"/>
      <c r="E17" s="49"/>
      <c r="F17" s="49"/>
      <c r="G17" s="71"/>
      <c r="H17" s="49"/>
      <c r="I17" s="49"/>
      <c r="J17" s="49"/>
    </row>
    <row r="18">
      <c r="A18" s="52" t="s">
        <v>35</v>
      </c>
      <c r="B18" s="53">
        <v>156.0</v>
      </c>
      <c r="C18" s="53">
        <v>78.0</v>
      </c>
      <c r="D18" s="59"/>
      <c r="E18" s="49"/>
      <c r="F18" s="49"/>
      <c r="G18" s="71"/>
      <c r="H18" s="71"/>
      <c r="I18" s="71"/>
      <c r="J18" s="49"/>
    </row>
    <row r="19">
      <c r="A19" s="74" t="s">
        <v>75</v>
      </c>
      <c r="B19" s="53">
        <v>100.0</v>
      </c>
      <c r="C19" s="53">
        <v>50.0</v>
      </c>
      <c r="D19" s="59"/>
      <c r="E19" s="49"/>
      <c r="F19" s="49"/>
      <c r="G19" s="81" t="s">
        <v>98</v>
      </c>
      <c r="H19" s="71"/>
      <c r="I19" s="71"/>
      <c r="J19" s="49"/>
    </row>
    <row r="20">
      <c r="A20" s="86" t="s">
        <v>76</v>
      </c>
      <c r="B20" s="87">
        <v>188.0</v>
      </c>
      <c r="C20" s="87">
        <v>94.0</v>
      </c>
      <c r="D20" s="44"/>
      <c r="E20" s="49"/>
      <c r="F20" s="49"/>
      <c r="G20" s="49"/>
      <c r="H20" s="49"/>
      <c r="I20" s="49"/>
      <c r="J20" s="49"/>
    </row>
    <row r="21">
      <c r="A21" s="86" t="s">
        <v>79</v>
      </c>
      <c r="B21" s="87">
        <v>609.38</v>
      </c>
      <c r="C21" s="87">
        <v>304.69</v>
      </c>
      <c r="D21" s="44"/>
      <c r="E21" s="71" t="s">
        <v>80</v>
      </c>
      <c r="F21" s="49"/>
      <c r="G21" s="49"/>
      <c r="H21" s="49"/>
      <c r="I21" s="49"/>
      <c r="J21" s="49"/>
    </row>
    <row r="22">
      <c r="A22" s="86" t="s">
        <v>82</v>
      </c>
      <c r="B22" s="87"/>
      <c r="C22" s="87"/>
      <c r="D22" s="44"/>
      <c r="E22" s="71"/>
      <c r="F22" s="49"/>
      <c r="G22" s="71" t="s">
        <v>81</v>
      </c>
      <c r="H22" s="49"/>
      <c r="I22" s="49"/>
      <c r="J22" s="49"/>
    </row>
    <row r="23">
      <c r="A23" s="59" t="s">
        <v>84</v>
      </c>
      <c r="B23" s="59">
        <v>433.33</v>
      </c>
      <c r="C23" s="59">
        <v>216.7</v>
      </c>
      <c r="D23" s="44"/>
      <c r="E23" s="38" t="s">
        <v>85</v>
      </c>
      <c r="F23" s="49"/>
      <c r="G23" s="49"/>
      <c r="H23" s="71" t="s">
        <v>83</v>
      </c>
      <c r="I23" s="49"/>
      <c r="J23" s="49"/>
    </row>
    <row r="24">
      <c r="A24" s="59" t="s">
        <v>124</v>
      </c>
      <c r="B24" s="59">
        <v>192.0</v>
      </c>
      <c r="C24" s="59">
        <v>96.0</v>
      </c>
      <c r="D24" s="44"/>
      <c r="E24" s="71" t="s">
        <v>125</v>
      </c>
      <c r="F24" s="49"/>
      <c r="G24" s="49"/>
      <c r="H24" s="71" t="s">
        <v>86</v>
      </c>
      <c r="I24" s="49"/>
      <c r="J24" s="49"/>
    </row>
    <row r="25">
      <c r="A25" s="94" t="s">
        <v>89</v>
      </c>
      <c r="B25" s="53">
        <v>254.0</v>
      </c>
      <c r="C25" s="53">
        <v>127.0</v>
      </c>
      <c r="D25" s="63"/>
      <c r="E25" s="49"/>
      <c r="F25" s="49"/>
      <c r="G25" s="49"/>
      <c r="H25" s="49"/>
      <c r="I25" s="49"/>
      <c r="J25" s="49"/>
    </row>
    <row r="26">
      <c r="A26" s="59"/>
      <c r="B26" s="59"/>
      <c r="C26" s="59"/>
      <c r="D26" s="44"/>
      <c r="G26" s="49"/>
      <c r="H26" s="49"/>
      <c r="I26" s="49"/>
      <c r="J26" s="49"/>
    </row>
    <row r="27">
      <c r="A27" s="114"/>
      <c r="B27" s="115"/>
      <c r="C27" s="115"/>
      <c r="D27" s="76"/>
      <c r="E27" s="71" t="s">
        <v>126</v>
      </c>
      <c r="F27" s="71">
        <f t="shared" ref="F27:F29" si="5">B27*12</f>
        <v>0</v>
      </c>
      <c r="G27" s="49"/>
      <c r="H27" s="49"/>
      <c r="I27" s="49"/>
      <c r="J27" s="49"/>
    </row>
    <row r="28">
      <c r="A28" s="114"/>
      <c r="B28" s="115"/>
      <c r="C28" s="115"/>
      <c r="D28" s="76"/>
      <c r="E28" s="71" t="s">
        <v>126</v>
      </c>
      <c r="F28" s="71">
        <f t="shared" si="5"/>
        <v>0</v>
      </c>
      <c r="G28" s="49"/>
      <c r="H28" s="49"/>
      <c r="I28" s="49"/>
      <c r="J28" s="49"/>
    </row>
    <row r="29">
      <c r="A29" s="114"/>
      <c r="B29" s="115"/>
      <c r="C29" s="115"/>
      <c r="D29" s="76"/>
      <c r="E29" s="71" t="s">
        <v>126</v>
      </c>
      <c r="F29" s="49">
        <f t="shared" si="5"/>
        <v>0</v>
      </c>
      <c r="G29" s="71" t="s">
        <v>127</v>
      </c>
      <c r="H29" s="49">
        <f>SUM(F27:F28)</f>
        <v>0</v>
      </c>
      <c r="I29" s="49"/>
      <c r="J29" s="49"/>
    </row>
    <row r="30">
      <c r="A30" s="114"/>
      <c r="B30" s="114"/>
      <c r="C30" s="114"/>
      <c r="D30" s="76"/>
      <c r="E30" s="71"/>
      <c r="F30" s="49"/>
      <c r="G30" s="49"/>
      <c r="H30" s="49"/>
      <c r="I30" s="49"/>
      <c r="J30" s="49"/>
    </row>
    <row r="31">
      <c r="A31" s="75" t="s">
        <v>20</v>
      </c>
      <c r="B31" s="76">
        <f>SUM(B3:B30)</f>
        <v>8489.66</v>
      </c>
      <c r="C31" s="76">
        <f>sum(C3:C30)</f>
        <v>4244.87</v>
      </c>
      <c r="D31" s="76"/>
      <c r="E31" s="49"/>
      <c r="F31" s="49"/>
      <c r="G31" s="49"/>
      <c r="H31" s="49"/>
      <c r="I31" s="49"/>
      <c r="J31" s="4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7" max="7" width="21.0"/>
    <col customWidth="1" min="12" max="12" width="16.63"/>
  </cols>
  <sheetData>
    <row r="1">
      <c r="A1" s="38" t="s">
        <v>53</v>
      </c>
    </row>
    <row r="2">
      <c r="A2" s="46" t="s">
        <v>0</v>
      </c>
      <c r="B2" s="47" t="s">
        <v>1</v>
      </c>
      <c r="C2" s="47" t="s">
        <v>2</v>
      </c>
      <c r="D2" s="48" t="s">
        <v>54</v>
      </c>
      <c r="E2" s="49"/>
      <c r="F2" s="49"/>
      <c r="G2" s="50" t="s">
        <v>55</v>
      </c>
      <c r="H2" s="51"/>
      <c r="I2" s="51"/>
      <c r="J2" s="51"/>
    </row>
    <row r="3">
      <c r="A3" s="52" t="s">
        <v>56</v>
      </c>
      <c r="B3" s="53">
        <v>1907.0</v>
      </c>
      <c r="C3" s="53">
        <v>953.5</v>
      </c>
      <c r="D3" s="54"/>
      <c r="E3" s="49"/>
      <c r="F3" s="55"/>
      <c r="G3" s="56" t="s">
        <v>57</v>
      </c>
      <c r="H3" s="57" t="s">
        <v>58</v>
      </c>
      <c r="I3" s="57" t="s">
        <v>1</v>
      </c>
      <c r="J3" s="57" t="s">
        <v>2</v>
      </c>
      <c r="K3" s="58" t="s">
        <v>9</v>
      </c>
    </row>
    <row r="4">
      <c r="A4" s="59" t="s">
        <v>59</v>
      </c>
      <c r="B4" s="59">
        <v>300.0</v>
      </c>
      <c r="C4" s="59">
        <v>150.0</v>
      </c>
      <c r="D4" s="59">
        <v>50200.0</v>
      </c>
      <c r="E4" s="49"/>
      <c r="F4" s="55"/>
      <c r="G4" s="60" t="s">
        <v>11</v>
      </c>
      <c r="H4" s="53">
        <f t="shared" ref="H4:H5" si="1">I4*12</f>
        <v>66144</v>
      </c>
      <c r="I4" s="61">
        <f t="shared" ref="I4:I5" si="2">J4*2</f>
        <v>5512</v>
      </c>
      <c r="J4" s="53">
        <v>2756.0</v>
      </c>
      <c r="K4" s="62">
        <v>100000.0</v>
      </c>
    </row>
    <row r="5">
      <c r="A5" s="52" t="s">
        <v>60</v>
      </c>
      <c r="B5" s="53">
        <v>1744.0</v>
      </c>
      <c r="C5" s="53">
        <v>872.0</v>
      </c>
      <c r="D5" s="63"/>
      <c r="E5" s="49"/>
      <c r="F5" s="55"/>
      <c r="G5" s="64" t="s">
        <v>14</v>
      </c>
      <c r="H5" s="53">
        <f t="shared" si="1"/>
        <v>54024</v>
      </c>
      <c r="I5" s="61">
        <f t="shared" si="2"/>
        <v>4502</v>
      </c>
      <c r="J5" s="53">
        <v>2251.0</v>
      </c>
      <c r="K5" s="62">
        <v>81753.0</v>
      </c>
      <c r="L5" s="38" t="s">
        <v>61</v>
      </c>
      <c r="M5" s="38" t="s">
        <v>62</v>
      </c>
    </row>
    <row r="6">
      <c r="A6" s="65" t="s">
        <v>63</v>
      </c>
      <c r="B6" s="66"/>
      <c r="C6" s="59"/>
      <c r="D6" s="67"/>
      <c r="E6" s="68"/>
      <c r="F6" s="55"/>
      <c r="G6" s="69"/>
      <c r="H6" s="70"/>
      <c r="I6" s="70"/>
      <c r="J6" s="70"/>
    </row>
    <row r="7">
      <c r="A7" s="59" t="s">
        <v>64</v>
      </c>
      <c r="B7" s="59">
        <v>88.0</v>
      </c>
      <c r="C7" s="59">
        <v>44.0</v>
      </c>
      <c r="D7" s="60"/>
      <c r="E7" s="49"/>
      <c r="F7" s="55"/>
      <c r="G7" s="60"/>
      <c r="H7" s="53"/>
      <c r="I7" s="53"/>
      <c r="J7" s="53"/>
    </row>
    <row r="8">
      <c r="A8" s="59" t="s">
        <v>65</v>
      </c>
      <c r="B8" s="59"/>
      <c r="C8" s="59"/>
      <c r="D8" s="69"/>
      <c r="E8" s="71" t="s">
        <v>66</v>
      </c>
      <c r="F8" s="49"/>
      <c r="G8" s="72"/>
      <c r="H8" s="73"/>
      <c r="I8" s="53"/>
      <c r="J8" s="53"/>
    </row>
    <row r="9">
      <c r="A9" s="74" t="s">
        <v>67</v>
      </c>
      <c r="B9" s="53">
        <v>249.4</v>
      </c>
      <c r="C9" s="53">
        <v>124.7</v>
      </c>
      <c r="D9" s="60"/>
      <c r="E9" s="49"/>
      <c r="F9" s="49"/>
      <c r="G9" s="75" t="s">
        <v>20</v>
      </c>
      <c r="H9" s="76">
        <f>SUM(H4:H8)</f>
        <v>120168</v>
      </c>
      <c r="I9" s="76">
        <f t="shared" ref="I9:J9" si="3">sum(I4:I8)</f>
        <v>10014</v>
      </c>
      <c r="J9" s="76">
        <f t="shared" si="3"/>
        <v>5007</v>
      </c>
    </row>
    <row r="10">
      <c r="A10" s="69" t="s">
        <v>68</v>
      </c>
      <c r="B10" s="70"/>
      <c r="C10" s="70"/>
      <c r="D10" s="60"/>
      <c r="E10" s="71" t="s">
        <v>66</v>
      </c>
      <c r="F10" s="49"/>
      <c r="G10" s="49"/>
      <c r="H10" s="49"/>
      <c r="I10" s="49"/>
      <c r="J10" s="49"/>
    </row>
    <row r="11">
      <c r="A11" s="74" t="s">
        <v>22</v>
      </c>
      <c r="B11" s="53">
        <v>760.0</v>
      </c>
      <c r="C11" s="53">
        <v>180.0</v>
      </c>
      <c r="D11" s="60"/>
      <c r="E11" s="71"/>
      <c r="F11" s="49"/>
      <c r="G11" s="77" t="s">
        <v>23</v>
      </c>
      <c r="H11" s="78"/>
      <c r="I11" s="78"/>
      <c r="J11" s="78"/>
    </row>
    <row r="12">
      <c r="A12" s="52" t="s">
        <v>69</v>
      </c>
      <c r="B12" s="53">
        <v>50.0</v>
      </c>
      <c r="C12" s="53">
        <v>25.0</v>
      </c>
      <c r="D12" s="60"/>
      <c r="E12" s="49"/>
      <c r="F12" s="49"/>
      <c r="G12" s="78"/>
      <c r="H12" s="79">
        <f>H9-(B30*12)</f>
        <v>26266.68</v>
      </c>
      <c r="I12" s="79">
        <f t="shared" ref="I12:J12" si="4">I9-B30</f>
        <v>2188.89</v>
      </c>
      <c r="J12" s="79">
        <f t="shared" si="4"/>
        <v>1277.41</v>
      </c>
    </row>
    <row r="13">
      <c r="A13" s="80" t="s">
        <v>25</v>
      </c>
      <c r="B13" s="66">
        <v>114.0</v>
      </c>
      <c r="C13" s="66">
        <v>57.0</v>
      </c>
      <c r="D13" s="60"/>
      <c r="E13" s="49"/>
      <c r="F13" s="49"/>
      <c r="G13" s="81"/>
      <c r="H13" s="49"/>
      <c r="I13" s="49"/>
      <c r="J13" s="49"/>
    </row>
    <row r="14">
      <c r="A14" s="52" t="s">
        <v>26</v>
      </c>
      <c r="B14" s="53"/>
      <c r="C14" s="53"/>
      <c r="D14" s="60"/>
      <c r="E14" s="49"/>
      <c r="F14" s="49"/>
      <c r="G14" s="81"/>
      <c r="H14" s="49"/>
      <c r="I14" s="49"/>
      <c r="J14" s="49"/>
    </row>
    <row r="15">
      <c r="A15" s="52" t="s">
        <v>70</v>
      </c>
      <c r="B15" s="53">
        <v>102.0</v>
      </c>
      <c r="C15" s="53">
        <v>51.0</v>
      </c>
      <c r="D15" s="60"/>
      <c r="E15" s="49"/>
      <c r="F15" s="49"/>
      <c r="G15" s="82" t="s">
        <v>128</v>
      </c>
      <c r="H15" s="83">
        <v>1500.0</v>
      </c>
      <c r="I15" s="49"/>
      <c r="J15" s="49"/>
    </row>
    <row r="16">
      <c r="A16" s="52" t="s">
        <v>72</v>
      </c>
      <c r="B16" s="53">
        <v>180.0</v>
      </c>
      <c r="C16" s="53">
        <v>90.0</v>
      </c>
      <c r="D16" s="84"/>
      <c r="E16" s="49"/>
      <c r="F16" s="49"/>
      <c r="G16" s="82" t="s">
        <v>73</v>
      </c>
      <c r="H16" s="83">
        <v>1000.0</v>
      </c>
      <c r="I16" s="49"/>
      <c r="J16" s="49"/>
    </row>
    <row r="17">
      <c r="A17" s="52" t="s">
        <v>74</v>
      </c>
      <c r="B17" s="53">
        <v>170.0</v>
      </c>
      <c r="C17" s="53">
        <v>85.0</v>
      </c>
      <c r="D17" s="63"/>
      <c r="E17" s="49"/>
      <c r="F17" s="49"/>
      <c r="G17" s="71"/>
      <c r="H17" s="49"/>
      <c r="I17" s="49"/>
      <c r="J17" s="49"/>
    </row>
    <row r="18">
      <c r="A18" s="52" t="s">
        <v>35</v>
      </c>
      <c r="B18" s="53">
        <v>156.0</v>
      </c>
      <c r="C18" s="53">
        <v>78.0</v>
      </c>
      <c r="D18" s="59"/>
      <c r="E18" s="49"/>
      <c r="F18" s="49"/>
      <c r="G18" s="71"/>
      <c r="H18" s="71"/>
      <c r="I18" s="71"/>
      <c r="J18" s="49"/>
    </row>
    <row r="19">
      <c r="A19" s="74" t="s">
        <v>75</v>
      </c>
      <c r="B19" s="53">
        <v>100.0</v>
      </c>
      <c r="C19" s="53">
        <v>50.0</v>
      </c>
      <c r="D19" s="59"/>
      <c r="E19" s="85"/>
      <c r="F19" s="49"/>
      <c r="G19" s="81"/>
      <c r="H19" s="71"/>
      <c r="I19" s="71"/>
      <c r="J19" s="49"/>
    </row>
    <row r="20">
      <c r="A20" s="86" t="s">
        <v>76</v>
      </c>
      <c r="B20" s="87"/>
      <c r="C20" s="87"/>
      <c r="D20" s="44"/>
      <c r="E20" s="71" t="s">
        <v>77</v>
      </c>
      <c r="F20" s="49"/>
      <c r="G20" s="49"/>
      <c r="H20" s="49"/>
      <c r="I20" s="49"/>
      <c r="J20" s="49"/>
    </row>
    <row r="21">
      <c r="A21" s="88" t="s">
        <v>78</v>
      </c>
      <c r="B21" s="89"/>
      <c r="C21" s="89"/>
      <c r="D21" s="90"/>
      <c r="E21" s="49"/>
      <c r="F21" s="49"/>
      <c r="G21" s="49"/>
      <c r="H21" s="49"/>
      <c r="I21" s="49"/>
      <c r="J21" s="49"/>
    </row>
    <row r="22">
      <c r="A22" s="86" t="s">
        <v>79</v>
      </c>
      <c r="B22" s="87">
        <v>609.38</v>
      </c>
      <c r="C22" s="87">
        <v>304.69</v>
      </c>
      <c r="D22" s="44"/>
      <c r="E22" s="71" t="s">
        <v>80</v>
      </c>
      <c r="F22" s="49"/>
      <c r="H22" s="71" t="s">
        <v>81</v>
      </c>
      <c r="I22" s="49"/>
      <c r="J22" s="49"/>
    </row>
    <row r="23">
      <c r="A23" s="86" t="s">
        <v>82</v>
      </c>
      <c r="B23" s="87"/>
      <c r="C23" s="87"/>
      <c r="D23" s="44"/>
      <c r="E23" s="71"/>
      <c r="F23" s="49"/>
      <c r="G23" s="49"/>
      <c r="H23" s="71" t="s">
        <v>83</v>
      </c>
      <c r="I23" s="49"/>
      <c r="J23" s="49"/>
    </row>
    <row r="24">
      <c r="A24" s="59" t="s">
        <v>84</v>
      </c>
      <c r="B24" s="59">
        <v>433.33</v>
      </c>
      <c r="C24" s="59">
        <v>216.7</v>
      </c>
      <c r="D24" s="44"/>
      <c r="E24" s="91" t="s">
        <v>85</v>
      </c>
      <c r="F24" s="49"/>
      <c r="G24" s="49"/>
      <c r="H24" s="71" t="s">
        <v>86</v>
      </c>
      <c r="I24" s="49"/>
      <c r="J24" s="49"/>
    </row>
    <row r="25">
      <c r="A25" s="92" t="s">
        <v>87</v>
      </c>
      <c r="B25" s="92"/>
      <c r="C25" s="92"/>
      <c r="D25" s="93"/>
      <c r="E25" s="49"/>
      <c r="F25" s="49"/>
      <c r="G25" s="49"/>
      <c r="H25" s="49"/>
      <c r="I25" s="49"/>
      <c r="J25" s="49"/>
    </row>
    <row r="26">
      <c r="A26" s="94" t="s">
        <v>88</v>
      </c>
      <c r="B26" s="53">
        <v>118.0</v>
      </c>
      <c r="C26" s="53">
        <v>76.0</v>
      </c>
      <c r="D26" s="76"/>
      <c r="E26" s="71"/>
      <c r="F26" s="71"/>
      <c r="G26" s="49"/>
      <c r="H26" s="49"/>
      <c r="I26" s="49"/>
      <c r="J26" s="49"/>
    </row>
    <row r="27">
      <c r="A27" s="94" t="s">
        <v>89</v>
      </c>
      <c r="B27" s="53">
        <v>400.0</v>
      </c>
      <c r="C27" s="53">
        <v>200.0</v>
      </c>
      <c r="D27" s="76"/>
      <c r="E27" s="71"/>
      <c r="F27" s="71"/>
      <c r="G27" s="49"/>
      <c r="H27" s="49"/>
      <c r="I27" s="49"/>
      <c r="J27" s="49"/>
    </row>
    <row r="28">
      <c r="A28" s="59" t="s">
        <v>90</v>
      </c>
      <c r="B28" s="87">
        <v>264.0</v>
      </c>
      <c r="C28" s="87">
        <v>132.0</v>
      </c>
      <c r="D28" s="76"/>
      <c r="E28" s="71"/>
      <c r="F28" s="49"/>
      <c r="G28" s="71"/>
      <c r="H28" s="49"/>
      <c r="I28" s="49"/>
      <c r="J28" s="49"/>
    </row>
    <row r="29" ht="18.0" customHeight="1">
      <c r="A29" s="59" t="s">
        <v>91</v>
      </c>
      <c r="B29" s="59">
        <v>80.0</v>
      </c>
      <c r="C29" s="59">
        <v>40.0</v>
      </c>
      <c r="D29" s="73"/>
      <c r="E29" s="71"/>
      <c r="F29" s="49"/>
      <c r="G29" s="49"/>
      <c r="H29" s="49"/>
      <c r="I29" s="49"/>
      <c r="J29" s="49"/>
    </row>
    <row r="30">
      <c r="A30" s="75" t="s">
        <v>20</v>
      </c>
      <c r="B30" s="76">
        <f>SUM(B3:B29)</f>
        <v>7825.11</v>
      </c>
      <c r="C30" s="76">
        <f>sum(C3:C29)</f>
        <v>3729.59</v>
      </c>
      <c r="D30" s="76"/>
      <c r="E30" s="49"/>
      <c r="F30" s="49"/>
      <c r="G30" s="49"/>
      <c r="H30" s="49"/>
      <c r="I30" s="49"/>
      <c r="J30" s="4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6" max="6" width="19.88"/>
  </cols>
  <sheetData>
    <row r="1">
      <c r="A1" s="38" t="s">
        <v>129</v>
      </c>
    </row>
    <row r="2">
      <c r="A2" s="46" t="s">
        <v>0</v>
      </c>
      <c r="B2" s="47" t="s">
        <v>1</v>
      </c>
      <c r="C2" s="47" t="s">
        <v>2</v>
      </c>
      <c r="D2" s="48" t="s">
        <v>54</v>
      </c>
      <c r="E2" s="49"/>
      <c r="F2" s="49"/>
      <c r="G2" s="50" t="s">
        <v>55</v>
      </c>
      <c r="H2" s="51"/>
      <c r="I2" s="51"/>
      <c r="J2" s="51"/>
    </row>
    <row r="3">
      <c r="A3" s="52" t="s">
        <v>56</v>
      </c>
      <c r="B3" s="53">
        <v>1907.0</v>
      </c>
      <c r="C3" s="53">
        <v>953.5</v>
      </c>
      <c r="D3" s="54"/>
      <c r="E3" s="49"/>
      <c r="F3" s="55"/>
      <c r="G3" s="112" t="s">
        <v>93</v>
      </c>
      <c r="H3" s="57" t="s">
        <v>58</v>
      </c>
      <c r="I3" s="57" t="s">
        <v>1</v>
      </c>
      <c r="J3" s="57" t="s">
        <v>2</v>
      </c>
      <c r="K3" s="58" t="s">
        <v>9</v>
      </c>
    </row>
    <row r="4">
      <c r="A4" s="59" t="s">
        <v>59</v>
      </c>
      <c r="B4" s="59">
        <v>200.0</v>
      </c>
      <c r="C4" s="59">
        <v>100.0</v>
      </c>
      <c r="D4" s="59"/>
      <c r="E4" s="49"/>
      <c r="F4" s="55"/>
      <c r="G4" s="60" t="s">
        <v>11</v>
      </c>
      <c r="H4" s="53">
        <f t="shared" ref="H4:H6" si="1">I4*12</f>
        <v>51048</v>
      </c>
      <c r="I4" s="61">
        <f t="shared" ref="I4:I5" si="2">J4*2</f>
        <v>4254</v>
      </c>
      <c r="J4" s="53">
        <v>2127.0</v>
      </c>
      <c r="K4" s="62">
        <v>75000.0</v>
      </c>
    </row>
    <row r="5">
      <c r="A5" s="52" t="s">
        <v>130</v>
      </c>
      <c r="B5" s="53">
        <v>2600.0</v>
      </c>
      <c r="C5" s="53">
        <v>1300.0</v>
      </c>
      <c r="D5" s="63"/>
      <c r="E5" s="49"/>
      <c r="F5" s="55"/>
      <c r="G5" s="64" t="s">
        <v>14</v>
      </c>
      <c r="H5" s="53">
        <f t="shared" si="1"/>
        <v>54888</v>
      </c>
      <c r="I5" s="61">
        <f t="shared" si="2"/>
        <v>4574</v>
      </c>
      <c r="J5" s="53">
        <v>2287.0</v>
      </c>
      <c r="K5" s="62">
        <v>82571.0</v>
      </c>
    </row>
    <row r="6">
      <c r="A6" s="59" t="s">
        <v>64</v>
      </c>
      <c r="B6" s="59"/>
      <c r="C6" s="59"/>
      <c r="D6" s="60"/>
      <c r="E6" s="71" t="s">
        <v>131</v>
      </c>
      <c r="F6" s="55"/>
      <c r="G6" s="69" t="s">
        <v>119</v>
      </c>
      <c r="H6" s="70">
        <f t="shared" si="1"/>
        <v>7800</v>
      </c>
      <c r="I6" s="70">
        <v>650.0</v>
      </c>
      <c r="J6" s="70">
        <v>325.0</v>
      </c>
    </row>
    <row r="7">
      <c r="A7" s="74" t="s">
        <v>67</v>
      </c>
      <c r="B7" s="53">
        <v>249.4</v>
      </c>
      <c r="C7" s="53">
        <v>124.7</v>
      </c>
      <c r="D7" s="60"/>
      <c r="E7" s="49"/>
      <c r="F7" s="49"/>
      <c r="G7" s="60"/>
      <c r="H7" s="53"/>
      <c r="I7" s="53"/>
      <c r="J7" s="53"/>
    </row>
    <row r="8">
      <c r="A8" s="69" t="s">
        <v>68</v>
      </c>
      <c r="B8" s="70"/>
      <c r="C8" s="70"/>
      <c r="D8" s="60"/>
      <c r="E8" s="71" t="s">
        <v>122</v>
      </c>
      <c r="F8" s="49"/>
      <c r="G8" s="72"/>
      <c r="H8" s="73"/>
      <c r="I8" s="53"/>
      <c r="J8" s="53"/>
    </row>
    <row r="9">
      <c r="A9" s="74" t="s">
        <v>22</v>
      </c>
      <c r="B9" s="53">
        <v>880.0</v>
      </c>
      <c r="C9" s="53">
        <v>440.0</v>
      </c>
      <c r="D9" s="60"/>
      <c r="E9" s="71"/>
      <c r="F9" s="49"/>
      <c r="G9" s="75" t="s">
        <v>20</v>
      </c>
      <c r="H9" s="76">
        <f>SUM(H4:H8)</f>
        <v>113736</v>
      </c>
      <c r="I9" s="76">
        <f t="shared" ref="I9:J9" si="3">sum(I4:I8)</f>
        <v>9478</v>
      </c>
      <c r="J9" s="76">
        <f t="shared" si="3"/>
        <v>4739</v>
      </c>
    </row>
    <row r="10">
      <c r="A10" s="52" t="s">
        <v>123</v>
      </c>
      <c r="B10" s="53">
        <v>80.0</v>
      </c>
      <c r="C10" s="53">
        <v>40.0</v>
      </c>
      <c r="D10" s="60"/>
      <c r="E10" s="49"/>
      <c r="F10" s="49"/>
      <c r="G10" s="49"/>
      <c r="H10" s="49"/>
      <c r="I10" s="49"/>
      <c r="J10" s="49"/>
    </row>
    <row r="11">
      <c r="A11" s="80" t="s">
        <v>25</v>
      </c>
      <c r="B11" s="66">
        <v>114.0</v>
      </c>
      <c r="C11" s="66">
        <v>57.0</v>
      </c>
      <c r="D11" s="60"/>
      <c r="E11" s="49"/>
      <c r="F11" s="49"/>
      <c r="G11" s="77" t="s">
        <v>23</v>
      </c>
      <c r="H11" s="78"/>
      <c r="I11" s="78"/>
      <c r="J11" s="78"/>
    </row>
    <row r="12">
      <c r="A12" s="52" t="s">
        <v>26</v>
      </c>
      <c r="B12" s="53">
        <v>70.0</v>
      </c>
      <c r="C12" s="53">
        <v>35.0</v>
      </c>
      <c r="D12" s="60"/>
      <c r="E12" s="49"/>
      <c r="F12" s="49"/>
      <c r="G12" s="78"/>
      <c r="H12" s="79">
        <f>H9-(B31*12)</f>
        <v>17962.44</v>
      </c>
      <c r="I12" s="79">
        <f t="shared" ref="I12:J12" si="4">I9-B31</f>
        <v>1496.87</v>
      </c>
      <c r="J12" s="79">
        <f t="shared" si="4"/>
        <v>748.41</v>
      </c>
    </row>
    <row r="13">
      <c r="A13" s="52" t="s">
        <v>70</v>
      </c>
      <c r="B13" s="53">
        <v>101.22</v>
      </c>
      <c r="C13" s="53">
        <v>50.61</v>
      </c>
      <c r="D13" s="60"/>
      <c r="E13" s="49"/>
      <c r="F13" s="49"/>
      <c r="G13" s="81"/>
      <c r="H13" s="49"/>
      <c r="I13" s="49"/>
      <c r="J13" s="49"/>
    </row>
    <row r="14">
      <c r="A14" s="52" t="s">
        <v>72</v>
      </c>
      <c r="B14" s="53">
        <v>180.0</v>
      </c>
      <c r="C14" s="53">
        <v>90.0</v>
      </c>
      <c r="D14" s="84"/>
      <c r="E14" s="49"/>
      <c r="F14" s="49"/>
      <c r="G14" s="81"/>
      <c r="H14" s="49"/>
      <c r="I14" s="49"/>
      <c r="J14" s="49"/>
    </row>
    <row r="15">
      <c r="A15" s="52" t="s">
        <v>74</v>
      </c>
      <c r="B15" s="53">
        <v>200.0</v>
      </c>
      <c r="C15" s="53">
        <v>100.0</v>
      </c>
      <c r="D15" s="63"/>
      <c r="E15" s="49"/>
      <c r="F15" s="49"/>
      <c r="G15" s="81"/>
      <c r="H15" s="49"/>
      <c r="I15" s="49"/>
      <c r="J15" s="49"/>
    </row>
    <row r="16">
      <c r="A16" s="52" t="s">
        <v>35</v>
      </c>
      <c r="B16" s="53">
        <v>156.0</v>
      </c>
      <c r="C16" s="53">
        <v>78.0</v>
      </c>
      <c r="D16" s="59"/>
      <c r="E16" s="49"/>
      <c r="F16" s="49"/>
      <c r="G16" s="71"/>
      <c r="H16" s="49"/>
      <c r="I16" s="49"/>
      <c r="J16" s="49"/>
    </row>
    <row r="17">
      <c r="A17" s="74" t="s">
        <v>75</v>
      </c>
      <c r="B17" s="53">
        <v>100.0</v>
      </c>
      <c r="C17" s="53">
        <v>50.0</v>
      </c>
      <c r="D17" s="59"/>
      <c r="E17" s="49"/>
      <c r="F17" s="49"/>
      <c r="G17" s="71"/>
      <c r="H17" s="49"/>
      <c r="I17" s="49"/>
      <c r="J17" s="49"/>
    </row>
    <row r="18">
      <c r="A18" s="86" t="s">
        <v>76</v>
      </c>
      <c r="B18" s="87">
        <v>188.0</v>
      </c>
      <c r="C18" s="87">
        <v>94.0</v>
      </c>
      <c r="D18" s="44"/>
      <c r="E18" s="49"/>
      <c r="F18" s="49"/>
      <c r="G18" s="71"/>
      <c r="H18" s="71"/>
      <c r="I18" s="71"/>
      <c r="J18" s="49"/>
    </row>
    <row r="19">
      <c r="A19" s="86" t="s">
        <v>132</v>
      </c>
      <c r="B19" s="87"/>
      <c r="C19" s="87"/>
      <c r="D19" s="44"/>
      <c r="E19" s="49"/>
      <c r="F19" s="49"/>
      <c r="G19" s="81"/>
      <c r="H19" s="71"/>
      <c r="I19" s="71"/>
      <c r="J19" s="49"/>
    </row>
    <row r="20">
      <c r="A20" s="86" t="s">
        <v>79</v>
      </c>
      <c r="B20" s="87">
        <v>76.18</v>
      </c>
      <c r="C20" s="87">
        <v>38.08</v>
      </c>
      <c r="D20" s="44"/>
      <c r="E20" s="71" t="s">
        <v>80</v>
      </c>
      <c r="F20" s="49"/>
      <c r="G20" s="49"/>
      <c r="H20" s="49"/>
      <c r="I20" s="49"/>
      <c r="J20" s="49"/>
    </row>
    <row r="21">
      <c r="A21" s="86" t="s">
        <v>133</v>
      </c>
      <c r="B21" s="87"/>
      <c r="C21" s="87"/>
      <c r="D21" s="44"/>
      <c r="E21" s="71"/>
      <c r="F21" s="49"/>
      <c r="G21" s="49"/>
      <c r="H21" s="49"/>
      <c r="I21" s="49"/>
      <c r="J21" s="49"/>
    </row>
    <row r="22">
      <c r="A22" s="59" t="s">
        <v>84</v>
      </c>
      <c r="B22" s="59">
        <v>433.33</v>
      </c>
      <c r="C22" s="59">
        <v>216.7</v>
      </c>
      <c r="D22" s="44"/>
      <c r="E22" s="38" t="s">
        <v>85</v>
      </c>
      <c r="F22" s="49"/>
      <c r="G22" s="71" t="s">
        <v>81</v>
      </c>
      <c r="H22" s="49"/>
      <c r="I22" s="49"/>
      <c r="J22" s="49"/>
    </row>
    <row r="23">
      <c r="A23" s="59" t="s">
        <v>124</v>
      </c>
      <c r="B23" s="59">
        <v>192.0</v>
      </c>
      <c r="C23" s="59">
        <v>96.0</v>
      </c>
      <c r="D23" s="44"/>
      <c r="E23" s="71" t="s">
        <v>125</v>
      </c>
      <c r="F23" s="49"/>
      <c r="G23" s="49"/>
      <c r="H23" s="71" t="s">
        <v>83</v>
      </c>
      <c r="I23" s="49"/>
      <c r="J23" s="49"/>
    </row>
    <row r="24">
      <c r="A24" s="94" t="s">
        <v>89</v>
      </c>
      <c r="B24" s="53">
        <v>254.0</v>
      </c>
      <c r="C24" s="53">
        <v>127.0</v>
      </c>
      <c r="D24" s="63"/>
      <c r="E24" s="49"/>
      <c r="F24" s="49"/>
      <c r="G24" s="49"/>
      <c r="H24" s="71" t="s">
        <v>86</v>
      </c>
      <c r="I24" s="49"/>
      <c r="J24" s="49"/>
    </row>
    <row r="25">
      <c r="A25" s="44"/>
      <c r="B25" s="44"/>
      <c r="C25" s="44"/>
      <c r="D25" s="44"/>
      <c r="G25" s="49"/>
      <c r="H25" s="49"/>
      <c r="I25" s="49"/>
      <c r="J25" s="49"/>
    </row>
    <row r="26">
      <c r="A26" s="44"/>
      <c r="B26" s="44"/>
      <c r="C26" s="44"/>
      <c r="D26" s="44"/>
      <c r="G26" s="49"/>
      <c r="H26" s="49"/>
      <c r="I26" s="49"/>
      <c r="J26" s="49"/>
    </row>
    <row r="27">
      <c r="A27" s="114"/>
      <c r="B27" s="115"/>
      <c r="C27" s="115"/>
      <c r="D27" s="76"/>
      <c r="E27" s="71" t="s">
        <v>126</v>
      </c>
      <c r="F27" s="71">
        <f t="shared" ref="F27:F29" si="5">B27*12</f>
        <v>0</v>
      </c>
      <c r="G27" s="49"/>
      <c r="H27" s="49"/>
      <c r="I27" s="49"/>
      <c r="J27" s="49"/>
    </row>
    <row r="28">
      <c r="A28" s="114"/>
      <c r="B28" s="115"/>
      <c r="C28" s="115"/>
      <c r="D28" s="76"/>
      <c r="E28" s="71" t="s">
        <v>126</v>
      </c>
      <c r="F28" s="71">
        <f t="shared" si="5"/>
        <v>0</v>
      </c>
      <c r="G28" s="49"/>
      <c r="H28" s="49"/>
      <c r="I28" s="49"/>
      <c r="J28" s="49"/>
    </row>
    <row r="29">
      <c r="A29" s="114"/>
      <c r="B29" s="115"/>
      <c r="C29" s="115"/>
      <c r="D29" s="76"/>
      <c r="E29" s="71" t="s">
        <v>126</v>
      </c>
      <c r="F29" s="49">
        <f t="shared" si="5"/>
        <v>0</v>
      </c>
      <c r="G29" s="71" t="s">
        <v>127</v>
      </c>
      <c r="H29" s="49">
        <f>SUM(F27:F28)</f>
        <v>0</v>
      </c>
      <c r="I29" s="49"/>
      <c r="J29" s="49"/>
    </row>
    <row r="30">
      <c r="A30" s="114"/>
      <c r="B30" s="114"/>
      <c r="C30" s="114"/>
      <c r="D30" s="76"/>
      <c r="E30" s="71"/>
      <c r="F30" s="49"/>
      <c r="G30" s="49"/>
      <c r="H30" s="49"/>
      <c r="I30" s="49"/>
      <c r="J30" s="49"/>
    </row>
    <row r="31">
      <c r="A31" s="75" t="s">
        <v>20</v>
      </c>
      <c r="B31" s="76">
        <f>SUM(B3:B30)</f>
        <v>7981.13</v>
      </c>
      <c r="C31" s="76">
        <f>sum(C3:C30)</f>
        <v>3990.59</v>
      </c>
      <c r="D31" s="76"/>
      <c r="E31" s="49"/>
      <c r="F31" s="49"/>
      <c r="G31" s="49"/>
      <c r="H31" s="49"/>
      <c r="I31" s="49"/>
      <c r="J31" s="4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</cols>
  <sheetData>
    <row r="1">
      <c r="A1" s="38" t="s">
        <v>117</v>
      </c>
    </row>
    <row r="2">
      <c r="A2" s="46" t="s">
        <v>0</v>
      </c>
      <c r="B2" s="47" t="s">
        <v>1</v>
      </c>
      <c r="C2" s="47" t="s">
        <v>2</v>
      </c>
      <c r="D2" s="48" t="s">
        <v>54</v>
      </c>
      <c r="E2" s="49"/>
      <c r="F2" s="49"/>
      <c r="G2" s="50" t="s">
        <v>55</v>
      </c>
      <c r="H2" s="51"/>
      <c r="I2" s="51"/>
      <c r="J2" s="51"/>
    </row>
    <row r="3">
      <c r="A3" s="52" t="s">
        <v>56</v>
      </c>
      <c r="B3" s="53">
        <v>1907.0</v>
      </c>
      <c r="C3" s="53">
        <v>953.5</v>
      </c>
      <c r="D3" s="54"/>
      <c r="E3" s="49"/>
      <c r="F3" s="55"/>
      <c r="G3" s="112" t="s">
        <v>93</v>
      </c>
      <c r="H3" s="57" t="s">
        <v>58</v>
      </c>
      <c r="I3" s="57" t="s">
        <v>1</v>
      </c>
      <c r="J3" s="57" t="s">
        <v>2</v>
      </c>
      <c r="K3" s="58" t="s">
        <v>9</v>
      </c>
    </row>
    <row r="4">
      <c r="A4" s="59" t="s">
        <v>59</v>
      </c>
      <c r="B4" s="59">
        <v>200.0</v>
      </c>
      <c r="C4" s="59">
        <v>100.0</v>
      </c>
      <c r="D4" s="59">
        <v>52600.0</v>
      </c>
      <c r="E4" s="49"/>
      <c r="F4" s="55"/>
      <c r="G4" s="60" t="s">
        <v>11</v>
      </c>
      <c r="H4" s="53">
        <f>I4*12</f>
        <v>50976</v>
      </c>
      <c r="I4" s="61">
        <f t="shared" ref="I4:I5" si="1">J4*2</f>
        <v>4248</v>
      </c>
      <c r="J4" s="53">
        <v>2124.0</v>
      </c>
      <c r="K4" s="62">
        <v>75000.0</v>
      </c>
    </row>
    <row r="5">
      <c r="A5" s="65" t="s">
        <v>134</v>
      </c>
      <c r="B5" s="66">
        <v>1060.0</v>
      </c>
      <c r="C5" s="66">
        <v>530.0</v>
      </c>
      <c r="D5" s="80"/>
      <c r="E5" s="49"/>
      <c r="F5" s="55"/>
      <c r="G5" s="64" t="s">
        <v>14</v>
      </c>
      <c r="H5" s="53">
        <v>53712.0</v>
      </c>
      <c r="I5" s="61">
        <f t="shared" si="1"/>
        <v>4476</v>
      </c>
      <c r="J5" s="53">
        <v>2238.0</v>
      </c>
      <c r="K5" s="62">
        <v>80545.0</v>
      </c>
      <c r="L5" s="38" t="s">
        <v>135</v>
      </c>
    </row>
    <row r="6">
      <c r="A6" s="52" t="s">
        <v>136</v>
      </c>
      <c r="B6" s="53">
        <v>1820.0</v>
      </c>
      <c r="C6" s="53">
        <v>910.0</v>
      </c>
      <c r="D6" s="116"/>
      <c r="E6" s="68"/>
      <c r="F6" s="55"/>
      <c r="G6" s="69" t="s">
        <v>119</v>
      </c>
      <c r="H6" s="70">
        <f>I6*12</f>
        <v>7800</v>
      </c>
      <c r="I6" s="70">
        <v>650.0</v>
      </c>
      <c r="J6" s="70">
        <v>325.0</v>
      </c>
    </row>
    <row r="7">
      <c r="A7" s="59" t="s">
        <v>137</v>
      </c>
      <c r="B7" s="59">
        <f>C7*2</f>
        <v>144</v>
      </c>
      <c r="C7" s="59">
        <v>72.0</v>
      </c>
      <c r="D7" s="63"/>
      <c r="E7" s="49"/>
      <c r="F7" s="55"/>
      <c r="G7" s="60"/>
      <c r="H7" s="53"/>
      <c r="I7" s="53"/>
      <c r="J7" s="53"/>
    </row>
    <row r="8">
      <c r="A8" s="74" t="s">
        <v>67</v>
      </c>
      <c r="B8" s="53">
        <v>224.0</v>
      </c>
      <c r="C8" s="53">
        <v>112.0</v>
      </c>
      <c r="D8" s="60"/>
      <c r="E8" s="49"/>
      <c r="F8" s="49"/>
      <c r="G8" s="72"/>
      <c r="H8" s="73"/>
      <c r="I8" s="53"/>
      <c r="J8" s="53"/>
    </row>
    <row r="9">
      <c r="A9" s="69" t="s">
        <v>68</v>
      </c>
      <c r="B9" s="70">
        <v>78.0</v>
      </c>
      <c r="C9" s="70">
        <v>39.0</v>
      </c>
      <c r="D9" s="69"/>
      <c r="E9" s="71"/>
      <c r="F9" s="49"/>
      <c r="G9" s="75" t="s">
        <v>20</v>
      </c>
      <c r="H9" s="76">
        <f>SUM(H4:H8)</f>
        <v>112488</v>
      </c>
      <c r="I9" s="76">
        <f t="shared" ref="I9:J9" si="2">sum(I4:I8)</f>
        <v>9374</v>
      </c>
      <c r="J9" s="76">
        <f t="shared" si="2"/>
        <v>4687</v>
      </c>
    </row>
    <row r="10">
      <c r="A10" s="74" t="s">
        <v>22</v>
      </c>
      <c r="B10" s="53">
        <v>880.0</v>
      </c>
      <c r="C10" s="53">
        <v>220.0</v>
      </c>
      <c r="D10" s="60"/>
      <c r="E10" s="49"/>
      <c r="F10" s="49"/>
      <c r="G10" s="49"/>
      <c r="H10" s="49"/>
      <c r="I10" s="49"/>
      <c r="J10" s="49"/>
    </row>
    <row r="11">
      <c r="A11" s="52" t="s">
        <v>138</v>
      </c>
      <c r="B11" s="53">
        <v>0.0</v>
      </c>
      <c r="C11" s="53">
        <v>0.0</v>
      </c>
      <c r="D11" s="60"/>
      <c r="E11" s="71" t="s">
        <v>139</v>
      </c>
      <c r="F11" s="49"/>
      <c r="G11" s="77" t="s">
        <v>23</v>
      </c>
      <c r="H11" s="78"/>
      <c r="I11" s="78"/>
      <c r="J11" s="78"/>
    </row>
    <row r="12">
      <c r="A12" s="80" t="s">
        <v>25</v>
      </c>
      <c r="B12" s="66">
        <v>69.0</v>
      </c>
      <c r="C12" s="66">
        <v>34.5</v>
      </c>
      <c r="D12" s="60"/>
      <c r="E12" s="71"/>
      <c r="F12" s="49"/>
      <c r="G12" s="78"/>
      <c r="H12" s="79">
        <f>H9-(B27*12)</f>
        <v>15184.8</v>
      </c>
      <c r="I12" s="79">
        <f t="shared" ref="I12:J12" si="3">I9-B27</f>
        <v>1265.4</v>
      </c>
      <c r="J12" s="79">
        <f t="shared" si="3"/>
        <v>852.7</v>
      </c>
    </row>
    <row r="13">
      <c r="A13" s="52" t="s">
        <v>26</v>
      </c>
      <c r="B13" s="53">
        <v>70.0</v>
      </c>
      <c r="C13" s="53">
        <v>35.0</v>
      </c>
      <c r="D13" s="60"/>
      <c r="E13" s="49"/>
      <c r="F13" s="49"/>
      <c r="G13" s="81"/>
      <c r="H13" s="49"/>
      <c r="I13" s="49"/>
      <c r="J13" s="49"/>
    </row>
    <row r="14">
      <c r="A14" s="52" t="s">
        <v>70</v>
      </c>
      <c r="B14" s="53">
        <v>83.0</v>
      </c>
      <c r="C14" s="53">
        <v>41.5</v>
      </c>
      <c r="D14" s="60"/>
      <c r="E14" s="49"/>
      <c r="F14" s="49"/>
      <c r="G14" s="81"/>
      <c r="H14" s="49"/>
      <c r="I14" s="49"/>
      <c r="J14" s="49"/>
    </row>
    <row r="15">
      <c r="A15" s="52" t="s">
        <v>72</v>
      </c>
      <c r="B15" s="53">
        <v>180.0</v>
      </c>
      <c r="C15" s="53">
        <v>90.0</v>
      </c>
      <c r="D15" s="60"/>
      <c r="E15" s="49"/>
      <c r="F15" s="49"/>
      <c r="G15" s="81" t="s">
        <v>140</v>
      </c>
      <c r="H15" s="49"/>
      <c r="I15" s="49"/>
      <c r="J15" s="49"/>
    </row>
    <row r="16">
      <c r="A16" s="52" t="s">
        <v>74</v>
      </c>
      <c r="B16" s="53">
        <v>100.0</v>
      </c>
      <c r="C16" s="53">
        <v>50.0</v>
      </c>
      <c r="D16" s="60"/>
      <c r="E16" s="49"/>
      <c r="F16" s="49"/>
      <c r="G16" s="71"/>
      <c r="H16" s="49"/>
      <c r="I16" s="49"/>
      <c r="J16" s="49"/>
    </row>
    <row r="17">
      <c r="A17" s="52" t="s">
        <v>35</v>
      </c>
      <c r="B17" s="53">
        <v>120.0</v>
      </c>
      <c r="C17" s="53">
        <v>60.0</v>
      </c>
      <c r="D17" s="84"/>
      <c r="E17" s="49"/>
      <c r="F17" s="49"/>
      <c r="G17" s="71"/>
      <c r="H17" s="49"/>
      <c r="I17" s="49"/>
      <c r="J17" s="49"/>
    </row>
    <row r="18">
      <c r="A18" s="74" t="s">
        <v>75</v>
      </c>
      <c r="B18" s="53">
        <v>100.0</v>
      </c>
      <c r="C18" s="53">
        <v>50.0</v>
      </c>
      <c r="D18" s="63"/>
      <c r="E18" s="49"/>
      <c r="F18" s="49"/>
      <c r="G18" s="71"/>
      <c r="H18" s="71"/>
      <c r="I18" s="71"/>
      <c r="J18" s="49"/>
    </row>
    <row r="19">
      <c r="A19" s="86" t="s">
        <v>141</v>
      </c>
      <c r="B19" s="87">
        <v>100.0</v>
      </c>
      <c r="C19" s="87">
        <v>50.0</v>
      </c>
      <c r="D19" s="59"/>
      <c r="E19" s="49"/>
      <c r="F19" s="49"/>
      <c r="G19" s="81" t="s">
        <v>142</v>
      </c>
      <c r="H19" s="71"/>
      <c r="I19" s="71"/>
      <c r="J19" s="49"/>
    </row>
    <row r="20">
      <c r="A20" s="86" t="s">
        <v>76</v>
      </c>
      <c r="B20" s="87">
        <v>188.0</v>
      </c>
      <c r="C20" s="87">
        <v>94.0</v>
      </c>
      <c r="D20" s="59">
        <v>12480.0</v>
      </c>
      <c r="E20" s="49"/>
      <c r="F20" s="49"/>
      <c r="G20" s="49"/>
      <c r="H20" s="49"/>
      <c r="I20" s="49"/>
      <c r="J20" s="49"/>
    </row>
    <row r="21">
      <c r="A21" s="86" t="s">
        <v>143</v>
      </c>
      <c r="B21" s="87">
        <v>175.6</v>
      </c>
      <c r="C21" s="87">
        <v>87.8</v>
      </c>
      <c r="D21" s="44"/>
      <c r="E21" s="49"/>
      <c r="F21" s="49"/>
      <c r="G21" s="49"/>
      <c r="H21" s="49"/>
      <c r="I21" s="49"/>
      <c r="J21" s="49"/>
    </row>
    <row r="22">
      <c r="A22" s="86" t="s">
        <v>144</v>
      </c>
      <c r="B22" s="87">
        <v>76.0</v>
      </c>
      <c r="C22" s="87">
        <v>38.0</v>
      </c>
      <c r="D22" s="44"/>
      <c r="E22" s="49"/>
      <c r="F22" s="49"/>
      <c r="G22" s="49"/>
      <c r="H22" s="49"/>
      <c r="I22" s="49"/>
      <c r="J22" s="49"/>
    </row>
    <row r="23">
      <c r="A23" s="86" t="s">
        <v>145</v>
      </c>
      <c r="B23" s="87">
        <v>76.0</v>
      </c>
      <c r="C23" s="87">
        <v>38.0</v>
      </c>
      <c r="D23" s="44"/>
      <c r="E23" s="49"/>
      <c r="F23" s="49"/>
      <c r="G23" s="49"/>
      <c r="H23" s="49"/>
      <c r="I23" s="49"/>
      <c r="J23" s="49"/>
    </row>
    <row r="24">
      <c r="A24" s="59" t="s">
        <v>146</v>
      </c>
      <c r="B24" s="59">
        <v>105.0</v>
      </c>
      <c r="C24" s="59">
        <v>52.5</v>
      </c>
      <c r="D24" s="44"/>
      <c r="E24" s="49"/>
      <c r="F24" s="49"/>
      <c r="G24" s="49"/>
      <c r="H24" s="49"/>
      <c r="I24" s="49"/>
      <c r="J24" s="49"/>
    </row>
    <row r="25">
      <c r="A25" s="59" t="s">
        <v>147</v>
      </c>
      <c r="B25" s="59">
        <v>105.0</v>
      </c>
      <c r="C25" s="59">
        <v>52.5</v>
      </c>
      <c r="D25" s="63"/>
      <c r="E25" s="49"/>
      <c r="F25" s="49"/>
      <c r="G25" s="49"/>
      <c r="H25" s="49"/>
      <c r="I25" s="49"/>
      <c r="J25" s="49"/>
    </row>
    <row r="26">
      <c r="A26" s="94" t="s">
        <v>89</v>
      </c>
      <c r="B26" s="53">
        <v>248.0</v>
      </c>
      <c r="C26" s="53">
        <v>124.0</v>
      </c>
      <c r="D26" s="76"/>
      <c r="E26" s="49"/>
      <c r="F26" s="49"/>
      <c r="G26" s="49"/>
      <c r="H26" s="49"/>
      <c r="I26" s="49"/>
      <c r="J26" s="49"/>
    </row>
    <row r="27">
      <c r="A27" s="75" t="s">
        <v>20</v>
      </c>
      <c r="B27" s="76">
        <f>SUM(B3:B26)</f>
        <v>8108.6</v>
      </c>
      <c r="C27" s="76">
        <f>sum(C3:C26)</f>
        <v>3834.3</v>
      </c>
      <c r="D27" s="76"/>
      <c r="E27" s="49"/>
      <c r="F27" s="49"/>
      <c r="G27" s="49"/>
      <c r="H27" s="49"/>
      <c r="I27" s="49"/>
      <c r="J27" s="4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5" max="5" width="15.88"/>
  </cols>
  <sheetData>
    <row r="1">
      <c r="A1" s="117" t="s">
        <v>148</v>
      </c>
      <c r="B1" s="118" t="s">
        <v>149</v>
      </c>
      <c r="C1" s="118" t="s">
        <v>150</v>
      </c>
      <c r="D1" s="119" t="s">
        <v>151</v>
      </c>
      <c r="E1" s="119" t="s">
        <v>152</v>
      </c>
      <c r="F1" s="119"/>
      <c r="G1" s="119" t="s">
        <v>153</v>
      </c>
      <c r="H1" s="119" t="s">
        <v>154</v>
      </c>
      <c r="I1" s="119" t="s">
        <v>155</v>
      </c>
    </row>
    <row r="2">
      <c r="A2" s="117" t="s">
        <v>156</v>
      </c>
      <c r="B2" s="120">
        <v>0.0</v>
      </c>
      <c r="C2" s="121">
        <v>0.0</v>
      </c>
      <c r="D2" s="122">
        <v>0.04</v>
      </c>
      <c r="E2" s="121"/>
      <c r="F2" s="121"/>
      <c r="G2" s="121"/>
      <c r="H2" s="121"/>
      <c r="I2" s="121">
        <v>0.04</v>
      </c>
    </row>
    <row r="3">
      <c r="A3" s="117" t="s">
        <v>105</v>
      </c>
      <c r="B3" s="123">
        <v>3700.0</v>
      </c>
      <c r="C3" s="124">
        <v>55000.0</v>
      </c>
      <c r="D3" s="125">
        <v>303468.0</v>
      </c>
      <c r="E3" s="124"/>
      <c r="F3" s="124"/>
      <c r="G3" s="124"/>
      <c r="H3" s="124"/>
      <c r="I3" s="124">
        <v>510000.0</v>
      </c>
    </row>
    <row r="4">
      <c r="A4" s="117" t="s">
        <v>157</v>
      </c>
      <c r="B4" s="123">
        <v>200.0</v>
      </c>
      <c r="C4" s="124">
        <v>400.0</v>
      </c>
      <c r="D4" s="124">
        <v>1647.0</v>
      </c>
      <c r="F4" s="126"/>
      <c r="G4" s="126"/>
      <c r="H4" s="126"/>
      <c r="I4" s="124">
        <v>2362.0</v>
      </c>
    </row>
    <row r="5">
      <c r="A5" s="127">
        <v>43525.0</v>
      </c>
      <c r="B5" s="128">
        <f t="shared" ref="B5:D5" si="1">B3-(B4-(B3*B2)/12)</f>
        <v>3500</v>
      </c>
      <c r="C5" s="128">
        <f t="shared" si="1"/>
        <v>54600</v>
      </c>
      <c r="D5" s="128">
        <f t="shared" si="1"/>
        <v>302832.56</v>
      </c>
      <c r="E5" s="123">
        <v>1647.0</v>
      </c>
      <c r="F5" s="126">
        <f t="shared" ref="F5:F290" si="3">((8000/365)*12)</f>
        <v>263.0136986</v>
      </c>
      <c r="G5" s="123">
        <v>1480.0</v>
      </c>
      <c r="H5" s="129">
        <f t="shared" ref="H5:H290" si="4">(E5+F5)-G5</f>
        <v>430.0136986</v>
      </c>
      <c r="I5" s="129">
        <f>I3-(I4-(I3*I2)/12)</f>
        <v>509338</v>
      </c>
    </row>
    <row r="6">
      <c r="A6" s="127">
        <v>43556.0</v>
      </c>
      <c r="B6" s="128">
        <f t="shared" ref="B6:D6" si="2">B5-(B$4-(B5*B$2)/12)</f>
        <v>3300</v>
      </c>
      <c r="C6" s="128">
        <f t="shared" si="2"/>
        <v>54200</v>
      </c>
      <c r="D6" s="128">
        <f t="shared" si="2"/>
        <v>302195.0019</v>
      </c>
      <c r="E6" s="123">
        <v>1647.0</v>
      </c>
      <c r="F6" s="126">
        <f t="shared" si="3"/>
        <v>263.0136986</v>
      </c>
      <c r="G6" s="123">
        <v>1480.0</v>
      </c>
      <c r="H6" s="129">
        <f t="shared" si="4"/>
        <v>430.0136986</v>
      </c>
      <c r="I6" s="129">
        <f t="shared" ref="I6:I106" si="6">I5-(I$4-(I5*I$2)/12)</f>
        <v>508673.7933</v>
      </c>
    </row>
    <row r="7">
      <c r="A7" s="127">
        <v>43586.0</v>
      </c>
      <c r="B7" s="128">
        <f t="shared" ref="B7:D7" si="5">B6-(B$4-(B6*B$2)/12)</f>
        <v>3100</v>
      </c>
      <c r="C7" s="128">
        <f t="shared" si="5"/>
        <v>53800</v>
      </c>
      <c r="D7" s="128">
        <f t="shared" si="5"/>
        <v>301555.3185</v>
      </c>
      <c r="E7" s="123">
        <v>1647.0</v>
      </c>
      <c r="F7" s="126">
        <f t="shared" si="3"/>
        <v>263.0136986</v>
      </c>
      <c r="G7" s="123">
        <v>1480.0</v>
      </c>
      <c r="H7" s="129">
        <f t="shared" si="4"/>
        <v>430.0136986</v>
      </c>
      <c r="I7" s="129">
        <f t="shared" si="6"/>
        <v>508007.3726</v>
      </c>
    </row>
    <row r="8">
      <c r="A8" s="127">
        <v>43617.0</v>
      </c>
      <c r="B8" s="128">
        <f t="shared" ref="B8:D8" si="7">B7-(B$4-(B7*B$2)/12)</f>
        <v>2900</v>
      </c>
      <c r="C8" s="128">
        <f t="shared" si="7"/>
        <v>53400</v>
      </c>
      <c r="D8" s="128">
        <f t="shared" si="7"/>
        <v>300913.5029</v>
      </c>
      <c r="E8" s="123">
        <v>1647.0</v>
      </c>
      <c r="F8" s="126">
        <f t="shared" si="3"/>
        <v>263.0136986</v>
      </c>
      <c r="G8" s="123">
        <v>1480.0</v>
      </c>
      <c r="H8" s="129">
        <f t="shared" si="4"/>
        <v>430.0136986</v>
      </c>
      <c r="I8" s="129">
        <f t="shared" si="6"/>
        <v>507338.7306</v>
      </c>
    </row>
    <row r="9">
      <c r="A9" s="127">
        <v>43647.0</v>
      </c>
      <c r="B9" s="128">
        <f t="shared" ref="B9:D9" si="8">B8-(B$4-(B8*B$2)/12)</f>
        <v>2700</v>
      </c>
      <c r="C9" s="128">
        <f t="shared" si="8"/>
        <v>53000</v>
      </c>
      <c r="D9" s="128">
        <f t="shared" si="8"/>
        <v>300269.5479</v>
      </c>
      <c r="E9" s="123">
        <v>1647.0</v>
      </c>
      <c r="F9" s="126">
        <f t="shared" si="3"/>
        <v>263.0136986</v>
      </c>
      <c r="G9" s="123">
        <v>1480.0</v>
      </c>
      <c r="H9" s="129">
        <f t="shared" si="4"/>
        <v>430.0136986</v>
      </c>
      <c r="I9" s="129">
        <f t="shared" si="6"/>
        <v>506667.8597</v>
      </c>
    </row>
    <row r="10">
      <c r="A10" s="127">
        <v>43678.0</v>
      </c>
      <c r="B10" s="128">
        <f t="shared" ref="B10:D10" si="9">B9-(B$4-(B9*B$2)/12)</f>
        <v>2500</v>
      </c>
      <c r="C10" s="128">
        <f t="shared" si="9"/>
        <v>52600</v>
      </c>
      <c r="D10" s="128">
        <f t="shared" si="9"/>
        <v>299623.4464</v>
      </c>
      <c r="E10" s="123">
        <v>1647.0</v>
      </c>
      <c r="F10" s="126">
        <f t="shared" si="3"/>
        <v>263.0136986</v>
      </c>
      <c r="G10" s="123">
        <v>1480.0</v>
      </c>
      <c r="H10" s="129">
        <f t="shared" si="4"/>
        <v>430.0136986</v>
      </c>
      <c r="I10" s="129">
        <f t="shared" si="6"/>
        <v>505994.7525</v>
      </c>
    </row>
    <row r="11">
      <c r="A11" s="127">
        <v>43709.0</v>
      </c>
      <c r="B11" s="128">
        <f t="shared" ref="B11:D11" si="10">B10-(B$4-(B10*B$2)/12)</f>
        <v>2300</v>
      </c>
      <c r="C11" s="128">
        <f t="shared" si="10"/>
        <v>52200</v>
      </c>
      <c r="D11" s="128">
        <f t="shared" si="10"/>
        <v>298975.1913</v>
      </c>
      <c r="E11" s="123">
        <v>1647.0</v>
      </c>
      <c r="F11" s="126">
        <f t="shared" si="3"/>
        <v>263.0136986</v>
      </c>
      <c r="G11" s="123">
        <v>1480.0</v>
      </c>
      <c r="H11" s="129">
        <f t="shared" si="4"/>
        <v>430.0136986</v>
      </c>
      <c r="I11" s="129">
        <f t="shared" si="6"/>
        <v>505319.4017</v>
      </c>
    </row>
    <row r="12">
      <c r="A12" s="127">
        <v>43739.0</v>
      </c>
      <c r="B12" s="128">
        <f t="shared" ref="B12:D12" si="11">B11-(B$4-(B11*B$2)/12)</f>
        <v>2100</v>
      </c>
      <c r="C12" s="128">
        <f t="shared" si="11"/>
        <v>51800</v>
      </c>
      <c r="D12" s="128">
        <f t="shared" si="11"/>
        <v>298324.7752</v>
      </c>
      <c r="E12" s="123">
        <v>1647.0</v>
      </c>
      <c r="F12" s="126">
        <f t="shared" si="3"/>
        <v>263.0136986</v>
      </c>
      <c r="G12" s="123">
        <v>1480.0</v>
      </c>
      <c r="H12" s="129">
        <f t="shared" si="4"/>
        <v>430.0136986</v>
      </c>
      <c r="I12" s="129">
        <f t="shared" si="6"/>
        <v>504641.7997</v>
      </c>
    </row>
    <row r="13">
      <c r="A13" s="127">
        <v>43770.0</v>
      </c>
      <c r="B13" s="128">
        <f t="shared" ref="B13:D13" si="12">B12-(B$4-(B12*B$2)/12)</f>
        <v>1900</v>
      </c>
      <c r="C13" s="128">
        <f t="shared" si="12"/>
        <v>51400</v>
      </c>
      <c r="D13" s="128">
        <f t="shared" si="12"/>
        <v>297672.1911</v>
      </c>
      <c r="E13" s="123">
        <v>1647.0</v>
      </c>
      <c r="F13" s="126">
        <f t="shared" si="3"/>
        <v>263.0136986</v>
      </c>
      <c r="G13" s="123">
        <v>1480.0</v>
      </c>
      <c r="H13" s="129">
        <f t="shared" si="4"/>
        <v>430.0136986</v>
      </c>
      <c r="I13" s="129">
        <f t="shared" si="6"/>
        <v>503961.939</v>
      </c>
    </row>
    <row r="14">
      <c r="A14" s="127">
        <v>43800.0</v>
      </c>
      <c r="B14" s="128">
        <f t="shared" ref="B14:D14" si="13">B13-(B$4-(B13*B$2)/12)</f>
        <v>1700</v>
      </c>
      <c r="C14" s="128">
        <f t="shared" si="13"/>
        <v>51000</v>
      </c>
      <c r="D14" s="128">
        <f t="shared" si="13"/>
        <v>297017.4318</v>
      </c>
      <c r="E14" s="123">
        <v>1647.0</v>
      </c>
      <c r="F14" s="126">
        <f t="shared" si="3"/>
        <v>263.0136986</v>
      </c>
      <c r="G14" s="123">
        <v>1480.0</v>
      </c>
      <c r="H14" s="129">
        <f t="shared" si="4"/>
        <v>430.0136986</v>
      </c>
      <c r="I14" s="129">
        <f t="shared" si="6"/>
        <v>503279.8122</v>
      </c>
    </row>
    <row r="15">
      <c r="A15" s="127">
        <v>43831.0</v>
      </c>
      <c r="B15" s="128">
        <f t="shared" ref="B15:D15" si="14">B14-(B$4-(B14*B$2)/12)</f>
        <v>1500</v>
      </c>
      <c r="C15" s="128">
        <f t="shared" si="14"/>
        <v>50600</v>
      </c>
      <c r="D15" s="128">
        <f t="shared" si="14"/>
        <v>296360.4899</v>
      </c>
      <c r="E15" s="123">
        <v>1647.0</v>
      </c>
      <c r="F15" s="126">
        <f t="shared" si="3"/>
        <v>263.0136986</v>
      </c>
      <c r="G15" s="123">
        <v>1480.0</v>
      </c>
      <c r="H15" s="129">
        <f t="shared" si="4"/>
        <v>430.0136986</v>
      </c>
      <c r="I15" s="129">
        <f t="shared" si="6"/>
        <v>502595.4115</v>
      </c>
    </row>
    <row r="16">
      <c r="A16" s="127">
        <v>43862.0</v>
      </c>
      <c r="B16" s="128">
        <f t="shared" ref="B16:D16" si="15">B15-(B$4-(B15*B$2)/12)</f>
        <v>1300</v>
      </c>
      <c r="C16" s="128">
        <f t="shared" si="15"/>
        <v>50200</v>
      </c>
      <c r="D16" s="128">
        <f t="shared" si="15"/>
        <v>295701.3582</v>
      </c>
      <c r="E16" s="123">
        <v>1647.0</v>
      </c>
      <c r="F16" s="126">
        <f t="shared" si="3"/>
        <v>263.0136986</v>
      </c>
      <c r="G16" s="123">
        <v>1480.0</v>
      </c>
      <c r="H16" s="129">
        <f t="shared" si="4"/>
        <v>430.0136986</v>
      </c>
      <c r="I16" s="129">
        <f t="shared" si="6"/>
        <v>501908.7296</v>
      </c>
    </row>
    <row r="17">
      <c r="A17" s="127">
        <v>43891.0</v>
      </c>
      <c r="B17" s="128">
        <f t="shared" ref="B17:D17" si="16">B16-(B$4-(B16*B$2)/12)</f>
        <v>1100</v>
      </c>
      <c r="C17" s="128">
        <f t="shared" si="16"/>
        <v>49800</v>
      </c>
      <c r="D17" s="128">
        <f t="shared" si="16"/>
        <v>295040.0294</v>
      </c>
      <c r="E17" s="123">
        <v>1647.0</v>
      </c>
      <c r="F17" s="126">
        <f t="shared" si="3"/>
        <v>263.0136986</v>
      </c>
      <c r="G17" s="123">
        <v>1480.0</v>
      </c>
      <c r="H17" s="129">
        <f t="shared" si="4"/>
        <v>430.0136986</v>
      </c>
      <c r="I17" s="129">
        <f t="shared" si="6"/>
        <v>501219.7587</v>
      </c>
    </row>
    <row r="18">
      <c r="A18" s="127">
        <v>43922.0</v>
      </c>
      <c r="B18" s="128">
        <f t="shared" ref="B18:D18" si="17">B17-(B$4-(B17*B$2)/12)</f>
        <v>900</v>
      </c>
      <c r="C18" s="128">
        <f t="shared" si="17"/>
        <v>49400</v>
      </c>
      <c r="D18" s="128">
        <f t="shared" si="17"/>
        <v>294376.4961</v>
      </c>
      <c r="E18" s="123">
        <v>1647.0</v>
      </c>
      <c r="F18" s="126">
        <f t="shared" si="3"/>
        <v>263.0136986</v>
      </c>
      <c r="G18" s="123">
        <v>1480.0</v>
      </c>
      <c r="H18" s="129">
        <f t="shared" si="4"/>
        <v>430.0136986</v>
      </c>
      <c r="I18" s="129">
        <f t="shared" si="6"/>
        <v>500528.4912</v>
      </c>
    </row>
    <row r="19">
      <c r="A19" s="127">
        <v>43952.0</v>
      </c>
      <c r="B19" s="128">
        <f t="shared" ref="B19:D19" si="18">B18-(B$4-(B18*B$2)/12)</f>
        <v>700</v>
      </c>
      <c r="C19" s="128">
        <f t="shared" si="18"/>
        <v>49000</v>
      </c>
      <c r="D19" s="128">
        <f t="shared" si="18"/>
        <v>293710.7511</v>
      </c>
      <c r="E19" s="123">
        <v>1647.0</v>
      </c>
      <c r="F19" s="126">
        <f t="shared" si="3"/>
        <v>263.0136986</v>
      </c>
      <c r="G19" s="123">
        <v>1480.0</v>
      </c>
      <c r="H19" s="129">
        <f t="shared" si="4"/>
        <v>430.0136986</v>
      </c>
      <c r="I19" s="129">
        <f t="shared" si="6"/>
        <v>499834.9195</v>
      </c>
    </row>
    <row r="20">
      <c r="A20" s="127">
        <v>43983.0</v>
      </c>
      <c r="B20" s="128">
        <f t="shared" ref="B20:D20" si="19">B19-(B$4-(B19*B$2)/12)</f>
        <v>500</v>
      </c>
      <c r="C20" s="128">
        <f t="shared" si="19"/>
        <v>48600</v>
      </c>
      <c r="D20" s="128">
        <f t="shared" si="19"/>
        <v>293042.787</v>
      </c>
      <c r="E20" s="123">
        <v>1647.0</v>
      </c>
      <c r="F20" s="126">
        <f t="shared" si="3"/>
        <v>263.0136986</v>
      </c>
      <c r="G20" s="123">
        <v>1480.0</v>
      </c>
      <c r="H20" s="129">
        <f t="shared" si="4"/>
        <v>430.0136986</v>
      </c>
      <c r="I20" s="129">
        <f t="shared" si="6"/>
        <v>499139.0359</v>
      </c>
    </row>
    <row r="21">
      <c r="A21" s="127">
        <v>44013.0</v>
      </c>
      <c r="B21" s="128">
        <f t="shared" ref="B21:D21" si="20">B20-(B$4-(B20*B$2)/12)</f>
        <v>300</v>
      </c>
      <c r="C21" s="128">
        <f t="shared" si="20"/>
        <v>48200</v>
      </c>
      <c r="D21" s="128">
        <f t="shared" si="20"/>
        <v>292372.5963</v>
      </c>
      <c r="E21" s="123">
        <v>1647.0</v>
      </c>
      <c r="F21" s="126">
        <f t="shared" si="3"/>
        <v>263.0136986</v>
      </c>
      <c r="G21" s="123">
        <v>1480.0</v>
      </c>
      <c r="H21" s="129">
        <f t="shared" si="4"/>
        <v>430.0136986</v>
      </c>
      <c r="I21" s="129">
        <f t="shared" si="6"/>
        <v>498440.8327</v>
      </c>
    </row>
    <row r="22">
      <c r="A22" s="127">
        <v>44044.0</v>
      </c>
      <c r="B22" s="128">
        <f t="shared" ref="B22:D22" si="21">B21-(B$4-(B21*B$2)/12)</f>
        <v>100</v>
      </c>
      <c r="C22" s="128">
        <f t="shared" si="21"/>
        <v>47800</v>
      </c>
      <c r="D22" s="128">
        <f t="shared" si="21"/>
        <v>291700.1716</v>
      </c>
      <c r="E22" s="123">
        <v>1647.0</v>
      </c>
      <c r="F22" s="126">
        <f t="shared" si="3"/>
        <v>263.0136986</v>
      </c>
      <c r="G22" s="123">
        <v>1480.0</v>
      </c>
      <c r="H22" s="129">
        <f t="shared" si="4"/>
        <v>430.0136986</v>
      </c>
      <c r="I22" s="129">
        <f t="shared" si="6"/>
        <v>497740.3021</v>
      </c>
    </row>
    <row r="23">
      <c r="A23" s="127">
        <v>44075.0</v>
      </c>
      <c r="B23" s="128">
        <f t="shared" ref="B23:D23" si="22">B22-(B$4-(B22*B$2)/12)</f>
        <v>-100</v>
      </c>
      <c r="C23" s="128">
        <f t="shared" si="22"/>
        <v>47400</v>
      </c>
      <c r="D23" s="128">
        <f t="shared" si="22"/>
        <v>291025.5055</v>
      </c>
      <c r="E23" s="123">
        <v>1647.0</v>
      </c>
      <c r="F23" s="126">
        <f t="shared" si="3"/>
        <v>263.0136986</v>
      </c>
      <c r="G23" s="123">
        <v>1480.0</v>
      </c>
      <c r="H23" s="129">
        <f t="shared" si="4"/>
        <v>430.0136986</v>
      </c>
      <c r="I23" s="129">
        <f t="shared" si="6"/>
        <v>497037.4365</v>
      </c>
    </row>
    <row r="24">
      <c r="A24" s="127">
        <v>44105.0</v>
      </c>
      <c r="B24" s="128">
        <f t="shared" ref="B24:D24" si="23">B23-(B$4-(B23*B$2)/12)</f>
        <v>-300</v>
      </c>
      <c r="C24" s="128">
        <f t="shared" si="23"/>
        <v>47000</v>
      </c>
      <c r="D24" s="128">
        <f t="shared" si="23"/>
        <v>290348.5905</v>
      </c>
      <c r="E24" s="123">
        <v>1647.0</v>
      </c>
      <c r="F24" s="126">
        <f t="shared" si="3"/>
        <v>263.0136986</v>
      </c>
      <c r="G24" s="123">
        <v>1480.0</v>
      </c>
      <c r="H24" s="129">
        <f t="shared" si="4"/>
        <v>430.0136986</v>
      </c>
      <c r="I24" s="129">
        <f t="shared" si="6"/>
        <v>496332.2279</v>
      </c>
    </row>
    <row r="25">
      <c r="A25" s="127">
        <v>44136.0</v>
      </c>
      <c r="B25" s="128">
        <f t="shared" ref="B25:D25" si="24">B24-(B$4-(B24*B$2)/12)</f>
        <v>-500</v>
      </c>
      <c r="C25" s="128">
        <f t="shared" si="24"/>
        <v>46600</v>
      </c>
      <c r="D25" s="128">
        <f t="shared" si="24"/>
        <v>289669.4191</v>
      </c>
      <c r="E25" s="123">
        <v>1647.0</v>
      </c>
      <c r="F25" s="126">
        <f t="shared" si="3"/>
        <v>263.0136986</v>
      </c>
      <c r="G25" s="123">
        <v>1480.0</v>
      </c>
      <c r="H25" s="129">
        <f t="shared" si="4"/>
        <v>430.0136986</v>
      </c>
      <c r="I25" s="129">
        <f t="shared" si="6"/>
        <v>495624.6687</v>
      </c>
    </row>
    <row r="26">
      <c r="A26" s="127">
        <v>44166.0</v>
      </c>
      <c r="B26" s="128">
        <f t="shared" ref="B26:D26" si="25">B25-(B$4-(B25*B$2)/12)</f>
        <v>-700</v>
      </c>
      <c r="C26" s="128">
        <f t="shared" si="25"/>
        <v>46200</v>
      </c>
      <c r="D26" s="128">
        <f t="shared" si="25"/>
        <v>288987.9839</v>
      </c>
      <c r="E26" s="123">
        <v>1647.0</v>
      </c>
      <c r="F26" s="126">
        <f t="shared" si="3"/>
        <v>263.0136986</v>
      </c>
      <c r="G26" s="123">
        <v>1480.0</v>
      </c>
      <c r="H26" s="129">
        <f t="shared" si="4"/>
        <v>430.0136986</v>
      </c>
      <c r="I26" s="129">
        <f t="shared" si="6"/>
        <v>494914.7509</v>
      </c>
    </row>
    <row r="27">
      <c r="A27" s="127">
        <v>44197.0</v>
      </c>
      <c r="B27" s="128">
        <f t="shared" ref="B27:D27" si="26">B26-(B$4-(B26*B$2)/12)</f>
        <v>-900</v>
      </c>
      <c r="C27" s="128">
        <f t="shared" si="26"/>
        <v>45800</v>
      </c>
      <c r="D27" s="128">
        <f t="shared" si="26"/>
        <v>288304.2772</v>
      </c>
      <c r="E27" s="123">
        <v>1647.0</v>
      </c>
      <c r="F27" s="126">
        <f t="shared" si="3"/>
        <v>263.0136986</v>
      </c>
      <c r="G27" s="123">
        <v>1480.0</v>
      </c>
      <c r="H27" s="129">
        <f t="shared" si="4"/>
        <v>430.0136986</v>
      </c>
      <c r="I27" s="129">
        <f t="shared" si="6"/>
        <v>494202.4668</v>
      </c>
    </row>
    <row r="28">
      <c r="A28" s="127">
        <v>44228.0</v>
      </c>
      <c r="B28" s="128">
        <f t="shared" ref="B28:D28" si="27">B27-(B$4-(B27*B$2)/12)</f>
        <v>-1100</v>
      </c>
      <c r="C28" s="128">
        <f t="shared" si="27"/>
        <v>45400</v>
      </c>
      <c r="D28" s="128">
        <f t="shared" si="27"/>
        <v>287618.2914</v>
      </c>
      <c r="E28" s="123">
        <v>1647.0</v>
      </c>
      <c r="F28" s="126">
        <f t="shared" si="3"/>
        <v>263.0136986</v>
      </c>
      <c r="G28" s="123">
        <v>1480.0</v>
      </c>
      <c r="H28" s="129">
        <f t="shared" si="4"/>
        <v>430.0136986</v>
      </c>
      <c r="I28" s="129">
        <f t="shared" si="6"/>
        <v>493487.8083</v>
      </c>
    </row>
    <row r="29">
      <c r="A29" s="127">
        <v>44256.0</v>
      </c>
      <c r="B29" s="128">
        <f t="shared" ref="B29:D29" si="28">B28-(B$4-(B28*B$2)/12)</f>
        <v>-1300</v>
      </c>
      <c r="C29" s="128">
        <f t="shared" si="28"/>
        <v>45000</v>
      </c>
      <c r="D29" s="128">
        <f t="shared" si="28"/>
        <v>286930.019</v>
      </c>
      <c r="E29" s="123">
        <v>1647.0</v>
      </c>
      <c r="F29" s="126">
        <f t="shared" si="3"/>
        <v>263.0136986</v>
      </c>
      <c r="G29" s="123">
        <v>1480.0</v>
      </c>
      <c r="H29" s="129">
        <f t="shared" si="4"/>
        <v>430.0136986</v>
      </c>
      <c r="I29" s="129">
        <f t="shared" si="6"/>
        <v>492770.7677</v>
      </c>
    </row>
    <row r="30">
      <c r="A30" s="127">
        <v>44287.0</v>
      </c>
      <c r="B30" s="118"/>
      <c r="C30" s="128">
        <f t="shared" ref="C30:D30" si="29">C29-(C$4-(C29*C$2)/12)</f>
        <v>44600</v>
      </c>
      <c r="D30" s="128">
        <f t="shared" si="29"/>
        <v>286239.4524</v>
      </c>
      <c r="E30" s="123">
        <v>1647.0</v>
      </c>
      <c r="F30" s="126">
        <f t="shared" si="3"/>
        <v>263.0136986</v>
      </c>
      <c r="G30" s="123">
        <v>1480.0</v>
      </c>
      <c r="H30" s="129">
        <f t="shared" si="4"/>
        <v>430.0136986</v>
      </c>
      <c r="I30" s="129">
        <f t="shared" si="6"/>
        <v>492051.3369</v>
      </c>
    </row>
    <row r="31">
      <c r="A31" s="127">
        <v>44317.0</v>
      </c>
      <c r="B31" s="118"/>
      <c r="C31" s="128">
        <f t="shared" ref="C31:D31" si="30">C30-(C$4-(C30*C$2)/12)</f>
        <v>44200</v>
      </c>
      <c r="D31" s="128">
        <f t="shared" si="30"/>
        <v>285546.584</v>
      </c>
      <c r="E31" s="123">
        <v>1647.0</v>
      </c>
      <c r="F31" s="126">
        <f t="shared" si="3"/>
        <v>263.0136986</v>
      </c>
      <c r="G31" s="123">
        <v>1480.0</v>
      </c>
      <c r="H31" s="129">
        <f t="shared" si="4"/>
        <v>430.0136986</v>
      </c>
      <c r="I31" s="129">
        <f t="shared" si="6"/>
        <v>491329.508</v>
      </c>
    </row>
    <row r="32">
      <c r="A32" s="127">
        <v>44348.0</v>
      </c>
      <c r="B32" s="118"/>
      <c r="C32" s="128">
        <f t="shared" ref="C32:D32" si="31">C31-(C$4-(C31*C$2)/12)</f>
        <v>43800</v>
      </c>
      <c r="D32" s="128">
        <f t="shared" si="31"/>
        <v>284851.4059</v>
      </c>
      <c r="E32" s="123">
        <v>1647.0</v>
      </c>
      <c r="F32" s="126">
        <f t="shared" si="3"/>
        <v>263.0136986</v>
      </c>
      <c r="G32" s="123">
        <v>1480.0</v>
      </c>
      <c r="H32" s="129">
        <f t="shared" si="4"/>
        <v>430.0136986</v>
      </c>
      <c r="I32" s="129">
        <f t="shared" si="6"/>
        <v>490605.273</v>
      </c>
    </row>
    <row r="33">
      <c r="A33" s="127">
        <v>44378.0</v>
      </c>
      <c r="B33" s="118"/>
      <c r="C33" s="128">
        <f t="shared" ref="C33:D33" si="32">C32-(C$4-(C32*C$2)/12)</f>
        <v>43400</v>
      </c>
      <c r="D33" s="128">
        <f t="shared" si="32"/>
        <v>284153.9106</v>
      </c>
      <c r="E33" s="123">
        <v>1647.0</v>
      </c>
      <c r="F33" s="126">
        <f t="shared" si="3"/>
        <v>263.0136986</v>
      </c>
      <c r="G33" s="123">
        <v>1480.0</v>
      </c>
      <c r="H33" s="129">
        <f t="shared" si="4"/>
        <v>430.0136986</v>
      </c>
      <c r="I33" s="129">
        <f t="shared" si="6"/>
        <v>489878.624</v>
      </c>
    </row>
    <row r="34">
      <c r="A34" s="127">
        <v>44409.0</v>
      </c>
      <c r="B34" s="118"/>
      <c r="C34" s="128">
        <f t="shared" ref="C34:D34" si="33">C33-(C$4-(C33*C$2)/12)</f>
        <v>43000</v>
      </c>
      <c r="D34" s="128">
        <f t="shared" si="33"/>
        <v>283454.0903</v>
      </c>
      <c r="E34" s="123">
        <v>1647.0</v>
      </c>
      <c r="F34" s="126">
        <f t="shared" si="3"/>
        <v>263.0136986</v>
      </c>
      <c r="G34" s="123">
        <v>1480.0</v>
      </c>
      <c r="H34" s="129">
        <f t="shared" si="4"/>
        <v>430.0136986</v>
      </c>
      <c r="I34" s="129">
        <f t="shared" si="6"/>
        <v>489149.5527</v>
      </c>
    </row>
    <row r="35">
      <c r="A35" s="127">
        <v>44440.0</v>
      </c>
      <c r="B35" s="118"/>
      <c r="C35" s="128">
        <f t="shared" ref="C35:D35" si="34">C34-(C$4-(C34*C$2)/12)</f>
        <v>42600</v>
      </c>
      <c r="D35" s="128">
        <f t="shared" si="34"/>
        <v>282751.9373</v>
      </c>
      <c r="E35" s="123">
        <v>1647.0</v>
      </c>
      <c r="F35" s="126">
        <f t="shared" si="3"/>
        <v>263.0136986</v>
      </c>
      <c r="G35" s="123">
        <v>1480.0</v>
      </c>
      <c r="H35" s="129">
        <f t="shared" si="4"/>
        <v>430.0136986</v>
      </c>
      <c r="I35" s="129">
        <f t="shared" si="6"/>
        <v>488418.0512</v>
      </c>
    </row>
    <row r="36">
      <c r="A36" s="127">
        <v>44470.0</v>
      </c>
      <c r="B36" s="118"/>
      <c r="C36" s="128">
        <f t="shared" ref="C36:D36" si="35">C35-(C$4-(C35*C$2)/12)</f>
        <v>42200</v>
      </c>
      <c r="D36" s="128">
        <f t="shared" si="35"/>
        <v>282047.4437</v>
      </c>
      <c r="E36" s="123">
        <v>1647.0</v>
      </c>
      <c r="F36" s="126">
        <f t="shared" si="3"/>
        <v>263.0136986</v>
      </c>
      <c r="G36" s="123">
        <v>1480.0</v>
      </c>
      <c r="H36" s="129">
        <f t="shared" si="4"/>
        <v>430.0136986</v>
      </c>
      <c r="I36" s="129">
        <f t="shared" si="6"/>
        <v>487684.1114</v>
      </c>
    </row>
    <row r="37">
      <c r="A37" s="127">
        <v>44501.0</v>
      </c>
      <c r="B37" s="118"/>
      <c r="C37" s="128">
        <f t="shared" ref="C37:D37" si="36">C36-(C$4-(C36*C$2)/12)</f>
        <v>41800</v>
      </c>
      <c r="D37" s="128">
        <f t="shared" si="36"/>
        <v>281340.6019</v>
      </c>
      <c r="E37" s="123">
        <v>1647.0</v>
      </c>
      <c r="F37" s="126">
        <f t="shared" si="3"/>
        <v>263.0136986</v>
      </c>
      <c r="G37" s="123">
        <v>1480.0</v>
      </c>
      <c r="H37" s="129">
        <f t="shared" si="4"/>
        <v>430.0136986</v>
      </c>
      <c r="I37" s="129">
        <f t="shared" si="6"/>
        <v>486947.7251</v>
      </c>
    </row>
    <row r="38">
      <c r="A38" s="127">
        <v>44531.0</v>
      </c>
      <c r="B38" s="118"/>
      <c r="C38" s="128">
        <f t="shared" ref="C38:D38" si="37">C37-(C$4-(C37*C$2)/12)</f>
        <v>41400</v>
      </c>
      <c r="D38" s="128">
        <f t="shared" si="37"/>
        <v>280631.4039</v>
      </c>
      <c r="E38" s="123">
        <v>1647.0</v>
      </c>
      <c r="F38" s="126">
        <f t="shared" si="3"/>
        <v>263.0136986</v>
      </c>
      <c r="G38" s="123">
        <v>1480.0</v>
      </c>
      <c r="H38" s="129">
        <f t="shared" si="4"/>
        <v>430.0136986</v>
      </c>
      <c r="I38" s="129">
        <f t="shared" si="6"/>
        <v>486208.8842</v>
      </c>
    </row>
    <row r="39">
      <c r="A39" s="127">
        <v>44562.0</v>
      </c>
      <c r="B39" s="118"/>
      <c r="C39" s="128">
        <f t="shared" ref="C39:D39" si="38">C38-(C$4-(C38*C$2)/12)</f>
        <v>41000</v>
      </c>
      <c r="D39" s="128">
        <f t="shared" si="38"/>
        <v>279919.8419</v>
      </c>
      <c r="E39" s="123">
        <v>1647.0</v>
      </c>
      <c r="F39" s="126">
        <f t="shared" si="3"/>
        <v>263.0136986</v>
      </c>
      <c r="G39" s="123">
        <v>1480.0</v>
      </c>
      <c r="H39" s="129">
        <f t="shared" si="4"/>
        <v>430.0136986</v>
      </c>
      <c r="I39" s="129">
        <f t="shared" si="6"/>
        <v>485467.5805</v>
      </c>
    </row>
    <row r="40">
      <c r="A40" s="127">
        <v>44593.0</v>
      </c>
      <c r="B40" s="118"/>
      <c r="C40" s="128">
        <f t="shared" ref="C40:D40" si="39">C39-(C$4-(C39*C$2)/12)</f>
        <v>40600</v>
      </c>
      <c r="D40" s="128">
        <f t="shared" si="39"/>
        <v>279205.908</v>
      </c>
      <c r="E40" s="123">
        <v>1647.0</v>
      </c>
      <c r="F40" s="126">
        <f t="shared" si="3"/>
        <v>263.0136986</v>
      </c>
      <c r="G40" s="123">
        <v>1480.0</v>
      </c>
      <c r="H40" s="129">
        <f t="shared" si="4"/>
        <v>430.0136986</v>
      </c>
      <c r="I40" s="129">
        <f t="shared" si="6"/>
        <v>484723.8057</v>
      </c>
    </row>
    <row r="41">
      <c r="A41" s="127">
        <v>44621.0</v>
      </c>
      <c r="B41" s="118"/>
      <c r="C41" s="128">
        <f t="shared" ref="C41:D41" si="40">C40-(C$4-(C40*C$2)/12)</f>
        <v>40200</v>
      </c>
      <c r="D41" s="128">
        <f t="shared" si="40"/>
        <v>278489.5944</v>
      </c>
      <c r="E41" s="123">
        <v>1647.0</v>
      </c>
      <c r="F41" s="126">
        <f t="shared" si="3"/>
        <v>263.0136986</v>
      </c>
      <c r="G41" s="123">
        <v>1480.0</v>
      </c>
      <c r="H41" s="129">
        <f t="shared" si="4"/>
        <v>430.0136986</v>
      </c>
      <c r="I41" s="129">
        <f t="shared" si="6"/>
        <v>483977.5517</v>
      </c>
    </row>
    <row r="42">
      <c r="A42" s="127">
        <v>44652.0</v>
      </c>
      <c r="B42" s="118"/>
      <c r="C42" s="128">
        <f t="shared" ref="C42:D42" si="41">C41-(C$4-(C41*C$2)/12)</f>
        <v>39800</v>
      </c>
      <c r="D42" s="128">
        <f t="shared" si="41"/>
        <v>277770.893</v>
      </c>
      <c r="E42" s="123">
        <v>1647.0</v>
      </c>
      <c r="F42" s="126">
        <f t="shared" si="3"/>
        <v>263.0136986</v>
      </c>
      <c r="G42" s="123">
        <v>1480.0</v>
      </c>
      <c r="H42" s="129">
        <f t="shared" si="4"/>
        <v>430.0136986</v>
      </c>
      <c r="I42" s="129">
        <f t="shared" si="6"/>
        <v>483228.8102</v>
      </c>
    </row>
    <row r="43">
      <c r="A43" s="127">
        <v>44682.0</v>
      </c>
      <c r="B43" s="118"/>
      <c r="C43" s="128">
        <f t="shared" ref="C43:D43" si="42">C42-(C$4-(C42*C$2)/12)</f>
        <v>39400</v>
      </c>
      <c r="D43" s="128">
        <f t="shared" si="42"/>
        <v>277049.796</v>
      </c>
      <c r="E43" s="123">
        <v>1647.0</v>
      </c>
      <c r="F43" s="126">
        <f t="shared" si="3"/>
        <v>263.0136986</v>
      </c>
      <c r="G43" s="123">
        <v>1480.0</v>
      </c>
      <c r="H43" s="129">
        <f t="shared" si="4"/>
        <v>430.0136986</v>
      </c>
      <c r="I43" s="129">
        <f t="shared" si="6"/>
        <v>482477.5729</v>
      </c>
    </row>
    <row r="44">
      <c r="A44" s="127">
        <v>44713.0</v>
      </c>
      <c r="B44" s="118"/>
      <c r="C44" s="128">
        <f t="shared" ref="C44:D44" si="43">C43-(C$4-(C43*C$2)/12)</f>
        <v>39000</v>
      </c>
      <c r="D44" s="128">
        <f t="shared" si="43"/>
        <v>276326.2953</v>
      </c>
      <c r="E44" s="123">
        <v>1647.0</v>
      </c>
      <c r="F44" s="126">
        <f t="shared" si="3"/>
        <v>263.0136986</v>
      </c>
      <c r="G44" s="123">
        <v>1480.0</v>
      </c>
      <c r="H44" s="129">
        <f t="shared" si="4"/>
        <v>430.0136986</v>
      </c>
      <c r="I44" s="129">
        <f t="shared" si="6"/>
        <v>481723.8315</v>
      </c>
    </row>
    <row r="45">
      <c r="A45" s="127">
        <v>44743.0</v>
      </c>
      <c r="B45" s="118"/>
      <c r="C45" s="128">
        <f t="shared" ref="C45:D45" si="44">C44-(C$4-(C44*C$2)/12)</f>
        <v>38600</v>
      </c>
      <c r="D45" s="128">
        <f t="shared" si="44"/>
        <v>275600.383</v>
      </c>
      <c r="E45" s="123">
        <v>1647.0</v>
      </c>
      <c r="F45" s="126">
        <f t="shared" si="3"/>
        <v>263.0136986</v>
      </c>
      <c r="G45" s="123">
        <v>1480.0</v>
      </c>
      <c r="H45" s="129">
        <f t="shared" si="4"/>
        <v>430.0136986</v>
      </c>
      <c r="I45" s="129">
        <f t="shared" si="6"/>
        <v>480967.5776</v>
      </c>
    </row>
    <row r="46">
      <c r="A46" s="127">
        <v>44774.0</v>
      </c>
      <c r="B46" s="118"/>
      <c r="C46" s="128">
        <f t="shared" ref="C46:D46" si="45">C45-(C$4-(C45*C$2)/12)</f>
        <v>38200</v>
      </c>
      <c r="D46" s="128">
        <f t="shared" si="45"/>
        <v>274872.0509</v>
      </c>
      <c r="E46" s="123">
        <v>1647.0</v>
      </c>
      <c r="F46" s="126">
        <f t="shared" si="3"/>
        <v>263.0136986</v>
      </c>
      <c r="G46" s="123">
        <v>1480.0</v>
      </c>
      <c r="H46" s="129">
        <f t="shared" si="4"/>
        <v>430.0136986</v>
      </c>
      <c r="I46" s="129">
        <f t="shared" si="6"/>
        <v>480208.8029</v>
      </c>
    </row>
    <row r="47">
      <c r="A47" s="127">
        <v>44805.0</v>
      </c>
      <c r="B47" s="118"/>
      <c r="C47" s="128">
        <f t="shared" ref="C47:D47" si="46">C46-(C$4-(C46*C$2)/12)</f>
        <v>37800</v>
      </c>
      <c r="D47" s="128">
        <f t="shared" si="46"/>
        <v>274141.2911</v>
      </c>
      <c r="E47" s="123">
        <v>1647.0</v>
      </c>
      <c r="F47" s="126">
        <f t="shared" si="3"/>
        <v>263.0136986</v>
      </c>
      <c r="G47" s="123">
        <v>1480.0</v>
      </c>
      <c r="H47" s="129">
        <f t="shared" si="4"/>
        <v>430.0136986</v>
      </c>
      <c r="I47" s="129">
        <f t="shared" si="6"/>
        <v>479447.4989</v>
      </c>
    </row>
    <row r="48">
      <c r="A48" s="127">
        <v>44835.0</v>
      </c>
      <c r="B48" s="118"/>
      <c r="C48" s="128">
        <f t="shared" ref="C48:D48" si="47">C47-(C$4-(C47*C$2)/12)</f>
        <v>37400</v>
      </c>
      <c r="D48" s="128">
        <f t="shared" si="47"/>
        <v>273408.0954</v>
      </c>
      <c r="E48" s="123">
        <v>1647.0</v>
      </c>
      <c r="F48" s="126">
        <f t="shared" si="3"/>
        <v>263.0136986</v>
      </c>
      <c r="G48" s="123">
        <v>1480.0</v>
      </c>
      <c r="H48" s="129">
        <f t="shared" si="4"/>
        <v>430.0136986</v>
      </c>
      <c r="I48" s="129">
        <f t="shared" si="6"/>
        <v>478683.6572</v>
      </c>
    </row>
    <row r="49">
      <c r="A49" s="127">
        <v>44866.0</v>
      </c>
      <c r="B49" s="118"/>
      <c r="C49" s="128">
        <f t="shared" ref="C49:D49" si="48">C48-(C$4-(C48*C$2)/12)</f>
        <v>37000</v>
      </c>
      <c r="D49" s="128">
        <f t="shared" si="48"/>
        <v>272672.4557</v>
      </c>
      <c r="E49" s="123">
        <v>1647.0</v>
      </c>
      <c r="F49" s="126">
        <f t="shared" si="3"/>
        <v>263.0136986</v>
      </c>
      <c r="G49" s="123">
        <v>1480.0</v>
      </c>
      <c r="H49" s="129">
        <f t="shared" si="4"/>
        <v>430.0136986</v>
      </c>
      <c r="I49" s="129">
        <f t="shared" si="6"/>
        <v>477917.2694</v>
      </c>
    </row>
    <row r="50">
      <c r="A50" s="127">
        <v>44896.0</v>
      </c>
      <c r="B50" s="118"/>
      <c r="C50" s="128">
        <f t="shared" ref="C50:D50" si="49">C49-(C$4-(C49*C$2)/12)</f>
        <v>36600</v>
      </c>
      <c r="D50" s="128">
        <f t="shared" si="49"/>
        <v>271934.3639</v>
      </c>
      <c r="E50" s="123">
        <v>1647.0</v>
      </c>
      <c r="F50" s="126">
        <f t="shared" si="3"/>
        <v>263.0136986</v>
      </c>
      <c r="G50" s="123">
        <v>1480.0</v>
      </c>
      <c r="H50" s="129">
        <f t="shared" si="4"/>
        <v>430.0136986</v>
      </c>
      <c r="I50" s="129">
        <f t="shared" si="6"/>
        <v>477148.327</v>
      </c>
    </row>
    <row r="51">
      <c r="A51" s="127">
        <v>44927.0</v>
      </c>
      <c r="B51" s="118"/>
      <c r="C51" s="128">
        <f t="shared" ref="C51:D51" si="50">C50-(C$4-(C50*C$2)/12)</f>
        <v>36200</v>
      </c>
      <c r="D51" s="128">
        <f t="shared" si="50"/>
        <v>271193.8118</v>
      </c>
      <c r="E51" s="123">
        <v>1647.0</v>
      </c>
      <c r="F51" s="126">
        <f t="shared" si="3"/>
        <v>263.0136986</v>
      </c>
      <c r="G51" s="123">
        <v>1480.0</v>
      </c>
      <c r="H51" s="129">
        <f t="shared" si="4"/>
        <v>430.0136986</v>
      </c>
      <c r="I51" s="129">
        <f t="shared" si="6"/>
        <v>476376.8214</v>
      </c>
    </row>
    <row r="52">
      <c r="A52" s="127">
        <v>44958.0</v>
      </c>
      <c r="B52" s="118"/>
      <c r="C52" s="128">
        <f t="shared" ref="C52:D52" si="51">C51-(C$4-(C51*C$2)/12)</f>
        <v>35800</v>
      </c>
      <c r="D52" s="128">
        <f t="shared" si="51"/>
        <v>270450.7911</v>
      </c>
      <c r="E52" s="123">
        <v>1647.0</v>
      </c>
      <c r="F52" s="126">
        <f t="shared" si="3"/>
        <v>263.0136986</v>
      </c>
      <c r="G52" s="123">
        <v>1480.0</v>
      </c>
      <c r="H52" s="129">
        <f t="shared" si="4"/>
        <v>430.0136986</v>
      </c>
      <c r="I52" s="129">
        <f t="shared" si="6"/>
        <v>475602.7441</v>
      </c>
    </row>
    <row r="53">
      <c r="A53" s="127">
        <v>44986.0</v>
      </c>
      <c r="B53" s="118"/>
      <c r="C53" s="128">
        <f t="shared" ref="C53:D53" si="52">C52-(C$4-(C52*C$2)/12)</f>
        <v>35400</v>
      </c>
      <c r="D53" s="128">
        <f t="shared" si="52"/>
        <v>269705.2938</v>
      </c>
      <c r="E53" s="123">
        <v>1647.0</v>
      </c>
      <c r="F53" s="126">
        <f t="shared" si="3"/>
        <v>263.0136986</v>
      </c>
      <c r="G53" s="123">
        <v>1480.0</v>
      </c>
      <c r="H53" s="129">
        <f t="shared" si="4"/>
        <v>430.0136986</v>
      </c>
      <c r="I53" s="129">
        <f t="shared" si="6"/>
        <v>474826.0866</v>
      </c>
    </row>
    <row r="54">
      <c r="A54" s="127">
        <v>45017.0</v>
      </c>
      <c r="B54" s="118"/>
      <c r="C54" s="128">
        <f t="shared" ref="C54:D54" si="53">C53-(C$4-(C53*C$2)/12)</f>
        <v>35000</v>
      </c>
      <c r="D54" s="128">
        <f t="shared" si="53"/>
        <v>268957.3114</v>
      </c>
      <c r="E54" s="123">
        <v>1647.0</v>
      </c>
      <c r="F54" s="126">
        <f t="shared" si="3"/>
        <v>263.0136986</v>
      </c>
      <c r="G54" s="123">
        <v>1480.0</v>
      </c>
      <c r="H54" s="129">
        <f t="shared" si="4"/>
        <v>430.0136986</v>
      </c>
      <c r="I54" s="129">
        <f t="shared" si="6"/>
        <v>474046.8402</v>
      </c>
    </row>
    <row r="55">
      <c r="A55" s="127">
        <v>45047.0</v>
      </c>
      <c r="B55" s="118"/>
      <c r="C55" s="128">
        <f t="shared" ref="C55:D55" si="54">C54-(C$4-(C54*C$2)/12)</f>
        <v>34600</v>
      </c>
      <c r="D55" s="128">
        <f t="shared" si="54"/>
        <v>268206.8358</v>
      </c>
      <c r="E55" s="123">
        <v>1647.0</v>
      </c>
      <c r="F55" s="126">
        <f t="shared" si="3"/>
        <v>263.0136986</v>
      </c>
      <c r="G55" s="123">
        <v>1480.0</v>
      </c>
      <c r="H55" s="129">
        <f t="shared" si="4"/>
        <v>430.0136986</v>
      </c>
      <c r="I55" s="129">
        <f t="shared" si="6"/>
        <v>473264.9964</v>
      </c>
    </row>
    <row r="56">
      <c r="A56" s="127">
        <v>45078.0</v>
      </c>
      <c r="B56" s="118"/>
      <c r="C56" s="128">
        <f t="shared" ref="C56:D56" si="55">C55-(C$4-(C55*C$2)/12)</f>
        <v>34200</v>
      </c>
      <c r="D56" s="128">
        <f t="shared" si="55"/>
        <v>267453.8586</v>
      </c>
      <c r="E56" s="123">
        <v>1647.0</v>
      </c>
      <c r="F56" s="126">
        <f t="shared" si="3"/>
        <v>263.0136986</v>
      </c>
      <c r="G56" s="123">
        <v>1480.0</v>
      </c>
      <c r="H56" s="129">
        <f t="shared" si="4"/>
        <v>430.0136986</v>
      </c>
      <c r="I56" s="129">
        <f t="shared" si="6"/>
        <v>472480.5464</v>
      </c>
    </row>
    <row r="57">
      <c r="A57" s="127">
        <v>45108.0</v>
      </c>
      <c r="B57" s="118"/>
      <c r="C57" s="128">
        <f t="shared" ref="C57:D57" si="56">C56-(C$4-(C56*C$2)/12)</f>
        <v>33800</v>
      </c>
      <c r="D57" s="128">
        <f t="shared" si="56"/>
        <v>266698.3714</v>
      </c>
      <c r="E57" s="123">
        <v>1647.0</v>
      </c>
      <c r="F57" s="126">
        <f t="shared" si="3"/>
        <v>263.0136986</v>
      </c>
      <c r="G57" s="123">
        <v>1480.0</v>
      </c>
      <c r="H57" s="129">
        <f t="shared" si="4"/>
        <v>430.0136986</v>
      </c>
      <c r="I57" s="129">
        <f t="shared" si="6"/>
        <v>471693.4815</v>
      </c>
    </row>
    <row r="58">
      <c r="A58" s="127">
        <v>45139.0</v>
      </c>
      <c r="B58" s="118"/>
      <c r="C58" s="128">
        <f t="shared" ref="C58:D58" si="57">C57-(C$4-(C57*C$2)/12)</f>
        <v>33400</v>
      </c>
      <c r="D58" s="128">
        <f t="shared" si="57"/>
        <v>265940.366</v>
      </c>
      <c r="E58" s="123">
        <v>1647.0</v>
      </c>
      <c r="F58" s="126">
        <f t="shared" si="3"/>
        <v>263.0136986</v>
      </c>
      <c r="G58" s="123">
        <v>1480.0</v>
      </c>
      <c r="H58" s="129">
        <f t="shared" si="4"/>
        <v>430.0136986</v>
      </c>
      <c r="I58" s="129">
        <f t="shared" si="6"/>
        <v>470903.7931</v>
      </c>
    </row>
    <row r="59">
      <c r="A59" s="127">
        <v>45170.0</v>
      </c>
      <c r="B59" s="118"/>
      <c r="C59" s="128">
        <f t="shared" ref="C59:D59" si="58">C58-(C$4-(C58*C$2)/12)</f>
        <v>33000</v>
      </c>
      <c r="D59" s="128">
        <f t="shared" si="58"/>
        <v>265179.8339</v>
      </c>
      <c r="E59" s="123">
        <v>1647.0</v>
      </c>
      <c r="F59" s="126">
        <f t="shared" si="3"/>
        <v>263.0136986</v>
      </c>
      <c r="G59" s="123">
        <v>1480.0</v>
      </c>
      <c r="H59" s="129">
        <f t="shared" si="4"/>
        <v>430.0136986</v>
      </c>
      <c r="I59" s="129">
        <f t="shared" si="6"/>
        <v>470111.4724</v>
      </c>
    </row>
    <row r="60">
      <c r="A60" s="127">
        <v>45200.0</v>
      </c>
      <c r="B60" s="118"/>
      <c r="C60" s="128">
        <f t="shared" ref="C60:D60" si="59">C59-(C$4-(C59*C$2)/12)</f>
        <v>32600</v>
      </c>
      <c r="D60" s="128">
        <f t="shared" si="59"/>
        <v>264416.7667</v>
      </c>
      <c r="E60" s="123">
        <v>1647.0</v>
      </c>
      <c r="F60" s="126">
        <f t="shared" si="3"/>
        <v>263.0136986</v>
      </c>
      <c r="G60" s="123">
        <v>1480.0</v>
      </c>
      <c r="H60" s="129">
        <f t="shared" si="4"/>
        <v>430.0136986</v>
      </c>
      <c r="I60" s="129">
        <f t="shared" si="6"/>
        <v>469316.5107</v>
      </c>
    </row>
    <row r="61">
      <c r="A61" s="127">
        <v>45231.0</v>
      </c>
      <c r="B61" s="118"/>
      <c r="C61" s="128">
        <f t="shared" ref="C61:D61" si="60">C60-(C$4-(C60*C$2)/12)</f>
        <v>32200</v>
      </c>
      <c r="D61" s="128">
        <f t="shared" si="60"/>
        <v>263651.1559</v>
      </c>
      <c r="E61" s="123">
        <v>1647.0</v>
      </c>
      <c r="F61" s="126">
        <f t="shared" si="3"/>
        <v>263.0136986</v>
      </c>
      <c r="G61" s="123">
        <v>1480.0</v>
      </c>
      <c r="H61" s="129">
        <f t="shared" si="4"/>
        <v>430.0136986</v>
      </c>
      <c r="I61" s="129">
        <f t="shared" si="6"/>
        <v>468518.899</v>
      </c>
    </row>
    <row r="62">
      <c r="A62" s="127">
        <v>45261.0</v>
      </c>
      <c r="B62" s="118"/>
      <c r="C62" s="128">
        <f t="shared" ref="C62:D62" si="61">C61-(C$4-(C61*C$2)/12)</f>
        <v>31800</v>
      </c>
      <c r="D62" s="128">
        <f t="shared" si="61"/>
        <v>262882.9931</v>
      </c>
      <c r="E62" s="123">
        <v>1647.0</v>
      </c>
      <c r="F62" s="126">
        <f t="shared" si="3"/>
        <v>263.0136986</v>
      </c>
      <c r="G62" s="123">
        <v>1480.0</v>
      </c>
      <c r="H62" s="129">
        <f t="shared" si="4"/>
        <v>430.0136986</v>
      </c>
      <c r="I62" s="129">
        <f t="shared" si="6"/>
        <v>467718.6287</v>
      </c>
    </row>
    <row r="63">
      <c r="A63" s="127">
        <v>45292.0</v>
      </c>
      <c r="B63" s="118"/>
      <c r="C63" s="128">
        <f t="shared" ref="C63:D63" si="62">C62-(C$4-(C62*C$2)/12)</f>
        <v>31400</v>
      </c>
      <c r="D63" s="128">
        <f t="shared" si="62"/>
        <v>262112.2697</v>
      </c>
      <c r="E63" s="123">
        <v>1647.0</v>
      </c>
      <c r="F63" s="126">
        <f t="shared" si="3"/>
        <v>263.0136986</v>
      </c>
      <c r="G63" s="123">
        <v>1480.0</v>
      </c>
      <c r="H63" s="129">
        <f t="shared" si="4"/>
        <v>430.0136986</v>
      </c>
      <c r="I63" s="129">
        <f t="shared" si="6"/>
        <v>466915.6908</v>
      </c>
    </row>
    <row r="64">
      <c r="A64" s="127">
        <v>45323.0</v>
      </c>
      <c r="B64" s="118"/>
      <c r="C64" s="128">
        <f t="shared" ref="C64:D64" si="63">C63-(C$4-(C63*C$2)/12)</f>
        <v>31000</v>
      </c>
      <c r="D64" s="128">
        <f t="shared" si="63"/>
        <v>261338.9773</v>
      </c>
      <c r="E64" s="123">
        <v>1647.0</v>
      </c>
      <c r="F64" s="126">
        <f t="shared" si="3"/>
        <v>263.0136986</v>
      </c>
      <c r="G64" s="123">
        <v>1480.0</v>
      </c>
      <c r="H64" s="129">
        <f t="shared" si="4"/>
        <v>430.0136986</v>
      </c>
      <c r="I64" s="129">
        <f t="shared" si="6"/>
        <v>466110.0764</v>
      </c>
    </row>
    <row r="65">
      <c r="A65" s="127">
        <v>45352.0</v>
      </c>
      <c r="B65" s="118"/>
      <c r="C65" s="128">
        <f t="shared" ref="C65:D65" si="64">C64-(C$4-(C64*C$2)/12)</f>
        <v>30600</v>
      </c>
      <c r="D65" s="128">
        <f t="shared" si="64"/>
        <v>260563.1072</v>
      </c>
      <c r="E65" s="123">
        <v>1647.0</v>
      </c>
      <c r="F65" s="126">
        <f t="shared" si="3"/>
        <v>263.0136986</v>
      </c>
      <c r="G65" s="123">
        <v>1480.0</v>
      </c>
      <c r="H65" s="129">
        <f t="shared" si="4"/>
        <v>430.0136986</v>
      </c>
      <c r="I65" s="129">
        <f t="shared" si="6"/>
        <v>465301.7767</v>
      </c>
    </row>
    <row r="66">
      <c r="A66" s="127">
        <v>45383.0</v>
      </c>
      <c r="B66" s="118"/>
      <c r="C66" s="128">
        <f t="shared" ref="C66:D66" si="65">C65-(C$4-(C65*C$2)/12)</f>
        <v>30200</v>
      </c>
      <c r="D66" s="128">
        <f t="shared" si="65"/>
        <v>259784.6509</v>
      </c>
      <c r="E66" s="123">
        <v>1647.0</v>
      </c>
      <c r="F66" s="126">
        <f t="shared" si="3"/>
        <v>263.0136986</v>
      </c>
      <c r="G66" s="123">
        <v>1480.0</v>
      </c>
      <c r="H66" s="129">
        <f t="shared" si="4"/>
        <v>430.0136986</v>
      </c>
      <c r="I66" s="129">
        <f t="shared" si="6"/>
        <v>464490.7826</v>
      </c>
    </row>
    <row r="67">
      <c r="A67" s="127">
        <v>45413.0</v>
      </c>
      <c r="B67" s="118"/>
      <c r="C67" s="128">
        <f t="shared" ref="C67:D67" si="66">C66-(C$4-(C66*C$2)/12)</f>
        <v>29800</v>
      </c>
      <c r="D67" s="128">
        <f t="shared" si="66"/>
        <v>259003.5998</v>
      </c>
      <c r="E67" s="123">
        <v>1647.0</v>
      </c>
      <c r="F67" s="126">
        <f t="shared" si="3"/>
        <v>263.0136986</v>
      </c>
      <c r="G67" s="123">
        <v>1480.0</v>
      </c>
      <c r="H67" s="129">
        <f t="shared" si="4"/>
        <v>430.0136986</v>
      </c>
      <c r="I67" s="129">
        <f t="shared" si="6"/>
        <v>463677.0852</v>
      </c>
    </row>
    <row r="68">
      <c r="A68" s="127">
        <v>45444.0</v>
      </c>
      <c r="B68" s="118"/>
      <c r="C68" s="128">
        <f t="shared" ref="C68:D68" si="67">C67-(C$4-(C67*C$2)/12)</f>
        <v>29400</v>
      </c>
      <c r="D68" s="128">
        <f t="shared" si="67"/>
        <v>258219.9451</v>
      </c>
      <c r="E68" s="123">
        <v>1647.0</v>
      </c>
      <c r="F68" s="126">
        <f t="shared" si="3"/>
        <v>263.0136986</v>
      </c>
      <c r="G68" s="123">
        <v>1480.0</v>
      </c>
      <c r="H68" s="129">
        <f t="shared" si="4"/>
        <v>430.0136986</v>
      </c>
      <c r="I68" s="129">
        <f t="shared" si="6"/>
        <v>462860.6755</v>
      </c>
    </row>
    <row r="69">
      <c r="A69" s="127">
        <v>45474.0</v>
      </c>
      <c r="B69" s="118"/>
      <c r="C69" s="128">
        <f t="shared" ref="C69:D69" si="68">C68-(C$4-(C68*C$2)/12)</f>
        <v>29000</v>
      </c>
      <c r="D69" s="128">
        <f t="shared" si="68"/>
        <v>257433.6782</v>
      </c>
      <c r="E69" s="123">
        <v>1647.0</v>
      </c>
      <c r="F69" s="126">
        <f t="shared" si="3"/>
        <v>263.0136986</v>
      </c>
      <c r="G69" s="123">
        <v>1480.0</v>
      </c>
      <c r="H69" s="129">
        <f t="shared" si="4"/>
        <v>430.0136986</v>
      </c>
      <c r="I69" s="129">
        <f t="shared" si="6"/>
        <v>462041.5444</v>
      </c>
    </row>
    <row r="70">
      <c r="A70" s="127">
        <v>45505.0</v>
      </c>
      <c r="B70" s="118"/>
      <c r="C70" s="128">
        <f t="shared" ref="C70:D70" si="69">C69-(C$4-(C69*C$2)/12)</f>
        <v>28600</v>
      </c>
      <c r="D70" s="128">
        <f t="shared" si="69"/>
        <v>256644.7905</v>
      </c>
      <c r="E70" s="123">
        <v>1647.0</v>
      </c>
      <c r="F70" s="126">
        <f t="shared" si="3"/>
        <v>263.0136986</v>
      </c>
      <c r="G70" s="123">
        <v>1480.0</v>
      </c>
      <c r="H70" s="129">
        <f t="shared" si="4"/>
        <v>430.0136986</v>
      </c>
      <c r="I70" s="129">
        <f t="shared" si="6"/>
        <v>461219.6829</v>
      </c>
    </row>
    <row r="71">
      <c r="A71" s="127">
        <v>45536.0</v>
      </c>
      <c r="B71" s="118"/>
      <c r="C71" s="128">
        <f t="shared" ref="C71:D71" si="70">C70-(C$4-(C70*C$2)/12)</f>
        <v>28200</v>
      </c>
      <c r="D71" s="128">
        <f t="shared" si="70"/>
        <v>255853.2731</v>
      </c>
      <c r="E71" s="123">
        <v>1647.0</v>
      </c>
      <c r="F71" s="126">
        <f t="shared" si="3"/>
        <v>263.0136986</v>
      </c>
      <c r="G71" s="123">
        <v>1480.0</v>
      </c>
      <c r="H71" s="129">
        <f t="shared" si="4"/>
        <v>430.0136986</v>
      </c>
      <c r="I71" s="129">
        <f t="shared" si="6"/>
        <v>460395.0819</v>
      </c>
    </row>
    <row r="72">
      <c r="A72" s="127">
        <v>45566.0</v>
      </c>
      <c r="B72" s="118"/>
      <c r="C72" s="128">
        <f t="shared" ref="C72:D72" si="71">C71-(C$4-(C71*C$2)/12)</f>
        <v>27800</v>
      </c>
      <c r="D72" s="128">
        <f t="shared" si="71"/>
        <v>255059.1174</v>
      </c>
      <c r="E72" s="123">
        <v>1647.0</v>
      </c>
      <c r="F72" s="126">
        <f t="shared" si="3"/>
        <v>263.0136986</v>
      </c>
      <c r="G72" s="123">
        <v>1480.0</v>
      </c>
      <c r="H72" s="129">
        <f t="shared" si="4"/>
        <v>430.0136986</v>
      </c>
      <c r="I72" s="129">
        <f t="shared" si="6"/>
        <v>459567.7321</v>
      </c>
    </row>
    <row r="73">
      <c r="A73" s="127">
        <v>45597.0</v>
      </c>
      <c r="B73" s="118"/>
      <c r="C73" s="128">
        <f t="shared" ref="C73:D73" si="72">C72-(C$4-(C72*C$2)/12)</f>
        <v>27400</v>
      </c>
      <c r="D73" s="128">
        <f t="shared" si="72"/>
        <v>254262.3144</v>
      </c>
      <c r="E73" s="123">
        <v>1647.0</v>
      </c>
      <c r="F73" s="126">
        <f t="shared" si="3"/>
        <v>263.0136986</v>
      </c>
      <c r="G73" s="123">
        <v>1480.0</v>
      </c>
      <c r="H73" s="129">
        <f t="shared" si="4"/>
        <v>430.0136986</v>
      </c>
      <c r="I73" s="129">
        <f t="shared" si="6"/>
        <v>458737.6246</v>
      </c>
    </row>
    <row r="74">
      <c r="A74" s="127">
        <v>45627.0</v>
      </c>
      <c r="B74" s="118"/>
      <c r="C74" s="128">
        <f t="shared" ref="C74:D74" si="73">C73-(C$4-(C73*C$2)/12)</f>
        <v>27000</v>
      </c>
      <c r="D74" s="128">
        <f t="shared" si="73"/>
        <v>253462.8555</v>
      </c>
      <c r="E74" s="123">
        <v>1647.0</v>
      </c>
      <c r="F74" s="126">
        <f t="shared" si="3"/>
        <v>263.0136986</v>
      </c>
      <c r="G74" s="123">
        <v>1480.0</v>
      </c>
      <c r="H74" s="129">
        <f t="shared" si="4"/>
        <v>430.0136986</v>
      </c>
      <c r="I74" s="129">
        <f t="shared" si="6"/>
        <v>457904.75</v>
      </c>
    </row>
    <row r="75">
      <c r="A75" s="127">
        <v>45658.0</v>
      </c>
      <c r="B75" s="118"/>
      <c r="C75" s="128">
        <f t="shared" ref="C75:D75" si="74">C74-(C$4-(C74*C$2)/12)</f>
        <v>26600</v>
      </c>
      <c r="D75" s="128">
        <f t="shared" si="74"/>
        <v>252660.7317</v>
      </c>
      <c r="E75" s="123">
        <v>1647.0</v>
      </c>
      <c r="F75" s="126">
        <f t="shared" si="3"/>
        <v>263.0136986</v>
      </c>
      <c r="G75" s="123">
        <v>1480.0</v>
      </c>
      <c r="H75" s="129">
        <f t="shared" si="4"/>
        <v>430.0136986</v>
      </c>
      <c r="I75" s="129">
        <f t="shared" si="6"/>
        <v>457069.0992</v>
      </c>
    </row>
    <row r="76">
      <c r="A76" s="127">
        <v>45689.0</v>
      </c>
      <c r="B76" s="118"/>
      <c r="C76" s="128">
        <f t="shared" ref="C76:D76" si="75">C75-(C$4-(C75*C$2)/12)</f>
        <v>26200</v>
      </c>
      <c r="D76" s="128">
        <f t="shared" si="75"/>
        <v>251855.9341</v>
      </c>
      <c r="E76" s="123">
        <v>1647.0</v>
      </c>
      <c r="F76" s="126">
        <f t="shared" si="3"/>
        <v>263.0136986</v>
      </c>
      <c r="G76" s="123">
        <v>1480.0</v>
      </c>
      <c r="H76" s="129">
        <f t="shared" si="4"/>
        <v>430.0136986</v>
      </c>
      <c r="I76" s="129">
        <f t="shared" si="6"/>
        <v>456230.6628</v>
      </c>
    </row>
    <row r="77">
      <c r="A77" s="127">
        <v>45717.0</v>
      </c>
      <c r="B77" s="118"/>
      <c r="C77" s="128">
        <f t="shared" ref="C77:D77" si="76">C76-(C$4-(C76*C$2)/12)</f>
        <v>25800</v>
      </c>
      <c r="D77" s="128">
        <f t="shared" si="76"/>
        <v>251048.4539</v>
      </c>
      <c r="E77" s="123">
        <v>1647.0</v>
      </c>
      <c r="F77" s="126">
        <f t="shared" si="3"/>
        <v>263.0136986</v>
      </c>
      <c r="G77" s="123">
        <v>1480.0</v>
      </c>
      <c r="H77" s="129">
        <f t="shared" si="4"/>
        <v>430.0136986</v>
      </c>
      <c r="I77" s="129">
        <f t="shared" si="6"/>
        <v>455389.4317</v>
      </c>
    </row>
    <row r="78">
      <c r="A78" s="127">
        <v>45748.0</v>
      </c>
      <c r="B78" s="118"/>
      <c r="C78" s="128">
        <f t="shared" ref="C78:D78" si="77">C77-(C$4-(C77*C$2)/12)</f>
        <v>25400</v>
      </c>
      <c r="D78" s="128">
        <f t="shared" si="77"/>
        <v>250238.2821</v>
      </c>
      <c r="E78" s="123">
        <v>1647.0</v>
      </c>
      <c r="F78" s="126">
        <f t="shared" si="3"/>
        <v>263.0136986</v>
      </c>
      <c r="G78" s="123">
        <v>1480.0</v>
      </c>
      <c r="H78" s="129">
        <f t="shared" si="4"/>
        <v>430.0136986</v>
      </c>
      <c r="I78" s="129">
        <f t="shared" si="6"/>
        <v>454545.3965</v>
      </c>
    </row>
    <row r="79">
      <c r="A79" s="127">
        <v>45778.0</v>
      </c>
      <c r="B79" s="118"/>
      <c r="C79" s="128">
        <f t="shared" ref="C79:D79" si="78">C78-(C$4-(C78*C$2)/12)</f>
        <v>25000</v>
      </c>
      <c r="D79" s="128">
        <f t="shared" si="78"/>
        <v>249425.4097</v>
      </c>
      <c r="E79" s="123">
        <v>1647.0</v>
      </c>
      <c r="F79" s="126">
        <f t="shared" si="3"/>
        <v>263.0136986</v>
      </c>
      <c r="G79" s="123">
        <v>1480.0</v>
      </c>
      <c r="H79" s="129">
        <f t="shared" si="4"/>
        <v>430.0136986</v>
      </c>
      <c r="I79" s="129">
        <f t="shared" si="6"/>
        <v>453698.5478</v>
      </c>
    </row>
    <row r="80">
      <c r="A80" s="127">
        <v>45809.0</v>
      </c>
      <c r="B80" s="118"/>
      <c r="C80" s="128">
        <f t="shared" ref="C80:D80" si="79">C79-(C$4-(C79*C$2)/12)</f>
        <v>24600</v>
      </c>
      <c r="D80" s="128">
        <f t="shared" si="79"/>
        <v>248609.8277</v>
      </c>
      <c r="E80" s="123">
        <v>1647.0</v>
      </c>
      <c r="F80" s="126">
        <f t="shared" si="3"/>
        <v>263.0136986</v>
      </c>
      <c r="G80" s="123">
        <v>1480.0</v>
      </c>
      <c r="H80" s="129">
        <f t="shared" si="4"/>
        <v>430.0136986</v>
      </c>
      <c r="I80" s="129">
        <f t="shared" si="6"/>
        <v>452848.8763</v>
      </c>
    </row>
    <row r="81">
      <c r="A81" s="127">
        <v>45839.0</v>
      </c>
      <c r="B81" s="118"/>
      <c r="C81" s="128">
        <f t="shared" ref="C81:D81" si="80">C80-(C$4-(C80*C$2)/12)</f>
        <v>24200</v>
      </c>
      <c r="D81" s="128">
        <f t="shared" si="80"/>
        <v>247791.5271</v>
      </c>
      <c r="E81" s="123">
        <v>1647.0</v>
      </c>
      <c r="F81" s="126">
        <f t="shared" si="3"/>
        <v>263.0136986</v>
      </c>
      <c r="G81" s="123">
        <v>1480.0</v>
      </c>
      <c r="H81" s="129">
        <f t="shared" si="4"/>
        <v>430.0136986</v>
      </c>
      <c r="I81" s="129">
        <f t="shared" si="6"/>
        <v>451996.3725</v>
      </c>
    </row>
    <row r="82">
      <c r="A82" s="127">
        <v>45870.0</v>
      </c>
      <c r="B82" s="118"/>
      <c r="C82" s="128">
        <f t="shared" ref="C82:D82" si="81">C81-(C$4-(C81*C$2)/12)</f>
        <v>23800</v>
      </c>
      <c r="D82" s="128">
        <f t="shared" si="81"/>
        <v>246970.4989</v>
      </c>
      <c r="E82" s="123">
        <v>1647.0</v>
      </c>
      <c r="F82" s="126">
        <f t="shared" si="3"/>
        <v>263.0136986</v>
      </c>
      <c r="G82" s="123">
        <v>1480.0</v>
      </c>
      <c r="H82" s="129">
        <f t="shared" si="4"/>
        <v>430.0136986</v>
      </c>
      <c r="I82" s="129">
        <f t="shared" si="6"/>
        <v>451141.0271</v>
      </c>
    </row>
    <row r="83">
      <c r="A83" s="127">
        <v>45901.0</v>
      </c>
      <c r="B83" s="118"/>
      <c r="C83" s="128">
        <f t="shared" ref="C83:D83" si="82">C82-(C$4-(C82*C$2)/12)</f>
        <v>23400</v>
      </c>
      <c r="D83" s="128">
        <f t="shared" si="82"/>
        <v>246146.7339</v>
      </c>
      <c r="E83" s="123">
        <v>1647.0</v>
      </c>
      <c r="F83" s="126">
        <f t="shared" si="3"/>
        <v>263.0136986</v>
      </c>
      <c r="G83" s="123">
        <v>1480.0</v>
      </c>
      <c r="H83" s="129">
        <f t="shared" si="4"/>
        <v>430.0136986</v>
      </c>
      <c r="I83" s="129">
        <f t="shared" si="6"/>
        <v>450282.8305</v>
      </c>
    </row>
    <row r="84">
      <c r="A84" s="127">
        <v>45931.0</v>
      </c>
      <c r="B84" s="118"/>
      <c r="C84" s="128">
        <f t="shared" ref="C84:D84" si="83">C83-(C$4-(C83*C$2)/12)</f>
        <v>23000</v>
      </c>
      <c r="D84" s="128">
        <f t="shared" si="83"/>
        <v>245320.223</v>
      </c>
      <c r="E84" s="123">
        <v>1647.0</v>
      </c>
      <c r="F84" s="126">
        <f t="shared" si="3"/>
        <v>263.0136986</v>
      </c>
      <c r="G84" s="123">
        <v>1480.0</v>
      </c>
      <c r="H84" s="129">
        <f t="shared" si="4"/>
        <v>430.0136986</v>
      </c>
      <c r="I84" s="129">
        <f t="shared" si="6"/>
        <v>449421.7733</v>
      </c>
    </row>
    <row r="85">
      <c r="A85" s="127">
        <v>45962.0</v>
      </c>
      <c r="B85" s="118"/>
      <c r="C85" s="128">
        <f t="shared" ref="C85:D85" si="84">C84-(C$4-(C84*C$2)/12)</f>
        <v>22600</v>
      </c>
      <c r="D85" s="128">
        <f t="shared" si="84"/>
        <v>244490.9571</v>
      </c>
      <c r="E85" s="123">
        <v>1647.0</v>
      </c>
      <c r="F85" s="126">
        <f t="shared" si="3"/>
        <v>263.0136986</v>
      </c>
      <c r="G85" s="123">
        <v>1480.0</v>
      </c>
      <c r="H85" s="129">
        <f t="shared" si="4"/>
        <v>430.0136986</v>
      </c>
      <c r="I85" s="129">
        <f t="shared" si="6"/>
        <v>448557.8459</v>
      </c>
    </row>
    <row r="86">
      <c r="A86" s="127">
        <v>45992.0</v>
      </c>
      <c r="B86" s="118"/>
      <c r="C86" s="128">
        <f t="shared" ref="C86:D86" si="85">C85-(C$4-(C85*C$2)/12)</f>
        <v>22200</v>
      </c>
      <c r="D86" s="128">
        <f t="shared" si="85"/>
        <v>243658.9269</v>
      </c>
      <c r="E86" s="123">
        <v>1647.0</v>
      </c>
      <c r="F86" s="126">
        <f t="shared" si="3"/>
        <v>263.0136986</v>
      </c>
      <c r="G86" s="123">
        <v>1480.0</v>
      </c>
      <c r="H86" s="129">
        <f t="shared" si="4"/>
        <v>430.0136986</v>
      </c>
      <c r="I86" s="129">
        <f t="shared" si="6"/>
        <v>447691.0387</v>
      </c>
    </row>
    <row r="87">
      <c r="A87" s="127">
        <v>46023.0</v>
      </c>
      <c r="B87" s="118"/>
      <c r="C87" s="128">
        <f t="shared" ref="C87:D87" si="86">C86-(C$4-(C86*C$2)/12)</f>
        <v>21800</v>
      </c>
      <c r="D87" s="128">
        <f t="shared" si="86"/>
        <v>242824.1234</v>
      </c>
      <c r="E87" s="123">
        <v>1647.0</v>
      </c>
      <c r="F87" s="126">
        <f t="shared" si="3"/>
        <v>263.0136986</v>
      </c>
      <c r="G87" s="123">
        <v>1480.0</v>
      </c>
      <c r="H87" s="129">
        <f t="shared" si="4"/>
        <v>430.0136986</v>
      </c>
      <c r="I87" s="129">
        <f t="shared" si="6"/>
        <v>446821.3422</v>
      </c>
    </row>
    <row r="88">
      <c r="A88" s="127">
        <v>46054.0</v>
      </c>
      <c r="B88" s="118"/>
      <c r="C88" s="128">
        <f t="shared" ref="C88:D88" si="87">C87-(C$4-(C87*C$2)/12)</f>
        <v>21400</v>
      </c>
      <c r="D88" s="128">
        <f t="shared" si="87"/>
        <v>241986.5371</v>
      </c>
      <c r="E88" s="123">
        <v>1647.0</v>
      </c>
      <c r="F88" s="126">
        <f t="shared" si="3"/>
        <v>263.0136986</v>
      </c>
      <c r="G88" s="123">
        <v>1480.0</v>
      </c>
      <c r="H88" s="129">
        <f t="shared" si="4"/>
        <v>430.0136986</v>
      </c>
      <c r="I88" s="129">
        <f t="shared" si="6"/>
        <v>445948.7466</v>
      </c>
    </row>
    <row r="89">
      <c r="A89" s="127">
        <v>46082.0</v>
      </c>
      <c r="B89" s="118"/>
      <c r="C89" s="128">
        <f t="shared" ref="C89:D89" si="88">C88-(C$4-(C88*C$2)/12)</f>
        <v>21000</v>
      </c>
      <c r="D89" s="128">
        <f t="shared" si="88"/>
        <v>241146.1589</v>
      </c>
      <c r="E89" s="123">
        <v>1647.0</v>
      </c>
      <c r="F89" s="126">
        <f t="shared" si="3"/>
        <v>263.0136986</v>
      </c>
      <c r="G89" s="123">
        <v>1480.0</v>
      </c>
      <c r="H89" s="129">
        <f t="shared" si="4"/>
        <v>430.0136986</v>
      </c>
      <c r="I89" s="129">
        <f t="shared" si="6"/>
        <v>445073.2425</v>
      </c>
    </row>
    <row r="90">
      <c r="A90" s="127">
        <v>46113.0</v>
      </c>
      <c r="B90" s="118"/>
      <c r="C90" s="128">
        <f t="shared" ref="C90:D90" si="89">C89-(C$4-(C89*C$2)/12)</f>
        <v>20600</v>
      </c>
      <c r="D90" s="128">
        <f t="shared" si="89"/>
        <v>240302.9794</v>
      </c>
      <c r="E90" s="123">
        <v>1647.0</v>
      </c>
      <c r="F90" s="126">
        <f t="shared" si="3"/>
        <v>263.0136986</v>
      </c>
      <c r="G90" s="123">
        <v>1480.0</v>
      </c>
      <c r="H90" s="129">
        <f t="shared" si="4"/>
        <v>430.0136986</v>
      </c>
      <c r="I90" s="129">
        <f t="shared" si="6"/>
        <v>444194.8199</v>
      </c>
    </row>
    <row r="91">
      <c r="A91" s="127">
        <v>46143.0</v>
      </c>
      <c r="B91" s="118"/>
      <c r="C91" s="128">
        <f t="shared" ref="C91:D91" si="90">C90-(C$4-(C90*C$2)/12)</f>
        <v>20200</v>
      </c>
      <c r="D91" s="128">
        <f t="shared" si="90"/>
        <v>239456.9894</v>
      </c>
      <c r="E91" s="123">
        <v>1647.0</v>
      </c>
      <c r="F91" s="126">
        <f t="shared" si="3"/>
        <v>263.0136986</v>
      </c>
      <c r="G91" s="123">
        <v>1480.0</v>
      </c>
      <c r="H91" s="129">
        <f t="shared" si="4"/>
        <v>430.0136986</v>
      </c>
      <c r="I91" s="129">
        <f t="shared" si="6"/>
        <v>443313.4693</v>
      </c>
    </row>
    <row r="92">
      <c r="A92" s="127">
        <v>46174.0</v>
      </c>
      <c r="B92" s="118"/>
      <c r="C92" s="128">
        <f t="shared" ref="C92:D92" si="91">C91-(C$4-(C91*C$2)/12)</f>
        <v>19800</v>
      </c>
      <c r="D92" s="128">
        <f t="shared" si="91"/>
        <v>238608.1793</v>
      </c>
      <c r="E92" s="123">
        <v>1647.0</v>
      </c>
      <c r="F92" s="126">
        <f t="shared" si="3"/>
        <v>263.0136986</v>
      </c>
      <c r="G92" s="123">
        <v>1480.0</v>
      </c>
      <c r="H92" s="129">
        <f t="shared" si="4"/>
        <v>430.0136986</v>
      </c>
      <c r="I92" s="129">
        <f t="shared" si="6"/>
        <v>442429.1809</v>
      </c>
    </row>
    <row r="93">
      <c r="A93" s="127">
        <v>46204.0</v>
      </c>
      <c r="B93" s="118"/>
      <c r="C93" s="128">
        <f t="shared" ref="C93:D93" si="92">C92-(C$4-(C92*C$2)/12)</f>
        <v>19400</v>
      </c>
      <c r="D93" s="128">
        <f t="shared" si="92"/>
        <v>237756.5399</v>
      </c>
      <c r="E93" s="123">
        <v>1647.0</v>
      </c>
      <c r="F93" s="126">
        <f t="shared" si="3"/>
        <v>263.0136986</v>
      </c>
      <c r="G93" s="123">
        <v>1480.0</v>
      </c>
      <c r="H93" s="129">
        <f t="shared" si="4"/>
        <v>430.0136986</v>
      </c>
      <c r="I93" s="129">
        <f t="shared" si="6"/>
        <v>441541.9448</v>
      </c>
    </row>
    <row r="94">
      <c r="A94" s="127">
        <v>46235.0</v>
      </c>
      <c r="B94" s="118"/>
      <c r="C94" s="128">
        <f t="shared" ref="C94:D94" si="93">C93-(C$4-(C93*C$2)/12)</f>
        <v>19000</v>
      </c>
      <c r="D94" s="128">
        <f t="shared" si="93"/>
        <v>236902.0617</v>
      </c>
      <c r="E94" s="123">
        <v>1647.0</v>
      </c>
      <c r="F94" s="126">
        <f t="shared" si="3"/>
        <v>263.0136986</v>
      </c>
      <c r="G94" s="123">
        <v>1480.0</v>
      </c>
      <c r="H94" s="129">
        <f t="shared" si="4"/>
        <v>430.0136986</v>
      </c>
      <c r="I94" s="129">
        <f t="shared" si="6"/>
        <v>440651.7513</v>
      </c>
    </row>
    <row r="95">
      <c r="A95" s="127">
        <v>46266.0</v>
      </c>
      <c r="B95" s="118"/>
      <c r="C95" s="128">
        <f t="shared" ref="C95:D95" si="94">C94-(C$4-(C94*C$2)/12)</f>
        <v>18600</v>
      </c>
      <c r="D95" s="128">
        <f t="shared" si="94"/>
        <v>236044.7353</v>
      </c>
      <c r="E95" s="123">
        <v>1647.0</v>
      </c>
      <c r="F95" s="126">
        <f t="shared" si="3"/>
        <v>263.0136986</v>
      </c>
      <c r="G95" s="123">
        <v>1480.0</v>
      </c>
      <c r="H95" s="129">
        <f t="shared" si="4"/>
        <v>430.0136986</v>
      </c>
      <c r="I95" s="129">
        <f t="shared" si="6"/>
        <v>439758.5905</v>
      </c>
    </row>
    <row r="96">
      <c r="A96" s="127">
        <v>46296.0</v>
      </c>
      <c r="B96" s="118"/>
      <c r="C96" s="128">
        <f t="shared" ref="C96:D96" si="95">C95-(C$4-(C95*C$2)/12)</f>
        <v>18200</v>
      </c>
      <c r="D96" s="128">
        <f t="shared" si="95"/>
        <v>235184.551</v>
      </c>
      <c r="E96" s="123">
        <v>1647.0</v>
      </c>
      <c r="F96" s="126">
        <f t="shared" si="3"/>
        <v>263.0136986</v>
      </c>
      <c r="G96" s="123">
        <v>1480.0</v>
      </c>
      <c r="H96" s="129">
        <f t="shared" si="4"/>
        <v>430.0136986</v>
      </c>
      <c r="I96" s="129">
        <f t="shared" si="6"/>
        <v>438862.4525</v>
      </c>
    </row>
    <row r="97">
      <c r="A97" s="127">
        <v>46327.0</v>
      </c>
      <c r="B97" s="118"/>
      <c r="C97" s="128">
        <f t="shared" ref="C97:D97" si="96">C96-(C$4-(C96*C$2)/12)</f>
        <v>17800</v>
      </c>
      <c r="D97" s="128">
        <f t="shared" si="96"/>
        <v>234321.4995</v>
      </c>
      <c r="E97" s="123">
        <v>1647.0</v>
      </c>
      <c r="F97" s="126">
        <f t="shared" si="3"/>
        <v>263.0136986</v>
      </c>
      <c r="G97" s="123">
        <v>1480.0</v>
      </c>
      <c r="H97" s="129">
        <f t="shared" si="4"/>
        <v>430.0136986</v>
      </c>
      <c r="I97" s="129">
        <f t="shared" si="6"/>
        <v>437963.3273</v>
      </c>
    </row>
    <row r="98">
      <c r="A98" s="127">
        <v>46357.0</v>
      </c>
      <c r="B98" s="118"/>
      <c r="C98" s="128">
        <f t="shared" ref="C98:D98" si="97">C97-(C$4-(C97*C$2)/12)</f>
        <v>17400</v>
      </c>
      <c r="D98" s="128">
        <f t="shared" si="97"/>
        <v>233455.5712</v>
      </c>
      <c r="E98" s="123">
        <v>1647.0</v>
      </c>
      <c r="F98" s="126">
        <f t="shared" si="3"/>
        <v>263.0136986</v>
      </c>
      <c r="G98" s="123">
        <v>1480.0</v>
      </c>
      <c r="H98" s="129">
        <f t="shared" si="4"/>
        <v>430.0136986</v>
      </c>
      <c r="I98" s="129">
        <f t="shared" si="6"/>
        <v>437061.2051</v>
      </c>
    </row>
    <row r="99">
      <c r="A99" s="127">
        <v>46388.0</v>
      </c>
      <c r="B99" s="118"/>
      <c r="C99" s="128">
        <f t="shared" ref="C99:D99" si="98">C98-(C$4-(C98*C$2)/12)</f>
        <v>17000</v>
      </c>
      <c r="D99" s="128">
        <f t="shared" si="98"/>
        <v>232586.7564</v>
      </c>
      <c r="E99" s="123">
        <v>1647.0</v>
      </c>
      <c r="F99" s="126">
        <f t="shared" si="3"/>
        <v>263.0136986</v>
      </c>
      <c r="G99" s="123">
        <v>1480.0</v>
      </c>
      <c r="H99" s="129">
        <f t="shared" si="4"/>
        <v>430.0136986</v>
      </c>
      <c r="I99" s="129">
        <f t="shared" si="6"/>
        <v>436156.0757</v>
      </c>
    </row>
    <row r="100">
      <c r="A100" s="127">
        <v>46419.0</v>
      </c>
      <c r="B100" s="118"/>
      <c r="C100" s="128">
        <f t="shared" ref="C100:D100" si="99">C99-(C$4-(C99*C$2)/12)</f>
        <v>16600</v>
      </c>
      <c r="D100" s="128">
        <f t="shared" si="99"/>
        <v>231715.0456</v>
      </c>
      <c r="E100" s="123">
        <v>1647.0</v>
      </c>
      <c r="F100" s="126">
        <f t="shared" si="3"/>
        <v>263.0136986</v>
      </c>
      <c r="G100" s="123">
        <v>1480.0</v>
      </c>
      <c r="H100" s="129">
        <f t="shared" si="4"/>
        <v>430.0136986</v>
      </c>
      <c r="I100" s="129">
        <f t="shared" si="6"/>
        <v>435247.9293</v>
      </c>
    </row>
    <row r="101">
      <c r="A101" s="127">
        <v>46447.0</v>
      </c>
      <c r="B101" s="118"/>
      <c r="C101" s="128">
        <f t="shared" ref="C101:D101" si="100">C100-(C$4-(C100*C$2)/12)</f>
        <v>16200</v>
      </c>
      <c r="D101" s="128">
        <f t="shared" si="100"/>
        <v>230840.4291</v>
      </c>
      <c r="E101" s="123">
        <v>1647.0</v>
      </c>
      <c r="F101" s="126">
        <f t="shared" si="3"/>
        <v>263.0136986</v>
      </c>
      <c r="G101" s="123">
        <v>1480.0</v>
      </c>
      <c r="H101" s="129">
        <f t="shared" si="4"/>
        <v>430.0136986</v>
      </c>
      <c r="I101" s="129">
        <f t="shared" si="6"/>
        <v>434336.7558</v>
      </c>
    </row>
    <row r="102">
      <c r="A102" s="127">
        <v>46478.0</v>
      </c>
      <c r="B102" s="118"/>
      <c r="C102" s="128">
        <f t="shared" ref="C102:D102" si="101">C101-(C$4-(C101*C$2)/12)</f>
        <v>15800</v>
      </c>
      <c r="D102" s="128">
        <f t="shared" si="101"/>
        <v>229962.8972</v>
      </c>
      <c r="E102" s="123">
        <v>1647.0</v>
      </c>
      <c r="F102" s="126">
        <f t="shared" si="3"/>
        <v>263.0136986</v>
      </c>
      <c r="G102" s="123">
        <v>1480.0</v>
      </c>
      <c r="H102" s="129">
        <f t="shared" si="4"/>
        <v>430.0136986</v>
      </c>
      <c r="I102" s="129">
        <f t="shared" si="6"/>
        <v>433422.5449</v>
      </c>
    </row>
    <row r="103">
      <c r="A103" s="127">
        <v>46508.0</v>
      </c>
      <c r="B103" s="118"/>
      <c r="C103" s="128">
        <f t="shared" ref="C103:D103" si="102">C102-(C$4-(C102*C$2)/12)</f>
        <v>15400</v>
      </c>
      <c r="D103" s="128">
        <f t="shared" si="102"/>
        <v>229082.4402</v>
      </c>
      <c r="E103" s="123">
        <v>1647.0</v>
      </c>
      <c r="F103" s="126">
        <f t="shared" si="3"/>
        <v>263.0136986</v>
      </c>
      <c r="G103" s="123">
        <v>1480.0</v>
      </c>
      <c r="H103" s="129">
        <f t="shared" si="4"/>
        <v>430.0136986</v>
      </c>
      <c r="I103" s="129">
        <f t="shared" si="6"/>
        <v>432505.2868</v>
      </c>
    </row>
    <row r="104">
      <c r="A104" s="127">
        <v>46539.0</v>
      </c>
      <c r="B104" s="118"/>
      <c r="C104" s="128">
        <f t="shared" ref="C104:D104" si="103">C103-(C$4-(C103*C$2)/12)</f>
        <v>15000</v>
      </c>
      <c r="D104" s="128">
        <f t="shared" si="103"/>
        <v>228199.0483</v>
      </c>
      <c r="E104" s="123">
        <v>1647.0</v>
      </c>
      <c r="F104" s="126">
        <f t="shared" si="3"/>
        <v>263.0136986</v>
      </c>
      <c r="G104" s="123">
        <v>1480.0</v>
      </c>
      <c r="H104" s="129">
        <f t="shared" si="4"/>
        <v>430.0136986</v>
      </c>
      <c r="I104" s="129">
        <f t="shared" si="6"/>
        <v>431584.971</v>
      </c>
    </row>
    <row r="105">
      <c r="A105" s="127">
        <v>46569.0</v>
      </c>
      <c r="B105" s="118"/>
      <c r="C105" s="128">
        <f t="shared" ref="C105:D105" si="104">C104-(C$4-(C104*C$2)/12)</f>
        <v>14600</v>
      </c>
      <c r="D105" s="128">
        <f t="shared" si="104"/>
        <v>227312.7118</v>
      </c>
      <c r="E105" s="123">
        <v>1647.0</v>
      </c>
      <c r="F105" s="126">
        <f t="shared" si="3"/>
        <v>263.0136986</v>
      </c>
      <c r="G105" s="123">
        <v>1480.0</v>
      </c>
      <c r="H105" s="129">
        <f t="shared" si="4"/>
        <v>430.0136986</v>
      </c>
      <c r="I105" s="129">
        <f t="shared" si="6"/>
        <v>430661.5876</v>
      </c>
    </row>
    <row r="106">
      <c r="A106" s="127">
        <v>46600.0</v>
      </c>
      <c r="B106" s="118"/>
      <c r="C106" s="128">
        <f t="shared" ref="C106:D106" si="105">C105-(C$4-(C105*C$2)/12)</f>
        <v>14200</v>
      </c>
      <c r="D106" s="128">
        <f t="shared" si="105"/>
        <v>226423.4209</v>
      </c>
      <c r="E106" s="123">
        <v>1647.0</v>
      </c>
      <c r="F106" s="126">
        <f t="shared" si="3"/>
        <v>263.0136986</v>
      </c>
      <c r="G106" s="123">
        <v>1480.0</v>
      </c>
      <c r="H106" s="129">
        <f t="shared" si="4"/>
        <v>430.0136986</v>
      </c>
      <c r="I106" s="129">
        <f t="shared" si="6"/>
        <v>429735.1262</v>
      </c>
    </row>
    <row r="107">
      <c r="A107" s="127">
        <v>46631.0</v>
      </c>
      <c r="B107" s="118"/>
      <c r="C107" s="128">
        <f t="shared" ref="C107:D107" si="106">C106-(C$4-(C106*C$2)/12)</f>
        <v>13800</v>
      </c>
      <c r="D107" s="128">
        <f t="shared" si="106"/>
        <v>225531.1656</v>
      </c>
      <c r="E107" s="123">
        <v>1647.0</v>
      </c>
      <c r="F107" s="126">
        <f t="shared" si="3"/>
        <v>263.0136986</v>
      </c>
      <c r="G107" s="123">
        <v>1480.0</v>
      </c>
      <c r="H107" s="129">
        <f t="shared" si="4"/>
        <v>430.0136986</v>
      </c>
      <c r="I107" s="129">
        <f t="shared" ref="I107:I290" si="108">I106-(I$4-(I106*I$2)/12)+H107</f>
        <v>429235.5904</v>
      </c>
      <c r="J107" s="38" t="s">
        <v>158</v>
      </c>
    </row>
    <row r="108">
      <c r="A108" s="127">
        <v>46661.0</v>
      </c>
      <c r="B108" s="118"/>
      <c r="C108" s="128">
        <f t="shared" ref="C108:D108" si="107">C107-(C$4-(C107*C$2)/12)</f>
        <v>13400</v>
      </c>
      <c r="D108" s="128">
        <f t="shared" si="107"/>
        <v>224635.9362</v>
      </c>
      <c r="E108" s="123">
        <v>1647.0</v>
      </c>
      <c r="F108" s="126">
        <f t="shared" si="3"/>
        <v>263.0136986</v>
      </c>
      <c r="G108" s="123">
        <v>1480.0</v>
      </c>
      <c r="H108" s="129">
        <f t="shared" si="4"/>
        <v>430.0136986</v>
      </c>
      <c r="I108" s="129">
        <f t="shared" si="108"/>
        <v>428734.3894</v>
      </c>
    </row>
    <row r="109">
      <c r="A109" s="127">
        <v>46692.0</v>
      </c>
      <c r="B109" s="118"/>
      <c r="C109" s="128">
        <f t="shared" ref="C109:D109" si="109">C108-(C$4-(C108*C$2)/12)</f>
        <v>13000</v>
      </c>
      <c r="D109" s="128">
        <f t="shared" si="109"/>
        <v>223737.7226</v>
      </c>
      <c r="E109" s="123">
        <v>1647.0</v>
      </c>
      <c r="F109" s="126">
        <f t="shared" si="3"/>
        <v>263.0136986</v>
      </c>
      <c r="G109" s="123">
        <v>1480.0</v>
      </c>
      <c r="H109" s="129">
        <f t="shared" si="4"/>
        <v>430.0136986</v>
      </c>
      <c r="I109" s="129">
        <f t="shared" si="108"/>
        <v>428231.5177</v>
      </c>
    </row>
    <row r="110">
      <c r="A110" s="127">
        <v>46722.0</v>
      </c>
      <c r="B110" s="118"/>
      <c r="C110" s="128">
        <f t="shared" ref="C110:D110" si="110">C109-(C$4-(C109*C$2)/12)</f>
        <v>12600</v>
      </c>
      <c r="D110" s="128">
        <f t="shared" si="110"/>
        <v>222836.515</v>
      </c>
      <c r="E110" s="123">
        <v>1647.0</v>
      </c>
      <c r="F110" s="126">
        <f t="shared" si="3"/>
        <v>263.0136986</v>
      </c>
      <c r="G110" s="123">
        <v>1480.0</v>
      </c>
      <c r="H110" s="129">
        <f t="shared" si="4"/>
        <v>430.0136986</v>
      </c>
      <c r="I110" s="129">
        <f t="shared" si="108"/>
        <v>427726.9698</v>
      </c>
    </row>
    <row r="111">
      <c r="A111" s="127">
        <v>46753.0</v>
      </c>
      <c r="B111" s="118"/>
      <c r="C111" s="128">
        <f t="shared" ref="C111:D111" si="111">C110-(C$4-(C110*C$2)/12)</f>
        <v>12200</v>
      </c>
      <c r="D111" s="128">
        <f t="shared" si="111"/>
        <v>221932.3034</v>
      </c>
      <c r="E111" s="123">
        <v>1647.0</v>
      </c>
      <c r="F111" s="126">
        <f t="shared" si="3"/>
        <v>263.0136986</v>
      </c>
      <c r="G111" s="123">
        <v>1480.0</v>
      </c>
      <c r="H111" s="129">
        <f t="shared" si="4"/>
        <v>430.0136986</v>
      </c>
      <c r="I111" s="129">
        <f t="shared" si="108"/>
        <v>427220.74</v>
      </c>
    </row>
    <row r="112">
      <c r="A112" s="127">
        <v>46784.0</v>
      </c>
      <c r="B112" s="118"/>
      <c r="C112" s="128">
        <f t="shared" ref="C112:D112" si="112">C111-(C$4-(C111*C$2)/12)</f>
        <v>11800</v>
      </c>
      <c r="D112" s="128">
        <f t="shared" si="112"/>
        <v>221025.0778</v>
      </c>
      <c r="E112" s="123">
        <v>1647.0</v>
      </c>
      <c r="F112" s="126">
        <f t="shared" si="3"/>
        <v>263.0136986</v>
      </c>
      <c r="G112" s="123">
        <v>1480.0</v>
      </c>
      <c r="H112" s="129">
        <f t="shared" si="4"/>
        <v>430.0136986</v>
      </c>
      <c r="I112" s="129">
        <f t="shared" si="108"/>
        <v>426712.8229</v>
      </c>
    </row>
    <row r="113">
      <c r="A113" s="127">
        <v>46813.0</v>
      </c>
      <c r="B113" s="118"/>
      <c r="C113" s="128">
        <f t="shared" ref="C113:D113" si="113">C112-(C$4-(C112*C$2)/12)</f>
        <v>11400</v>
      </c>
      <c r="D113" s="128">
        <f t="shared" si="113"/>
        <v>220114.828</v>
      </c>
      <c r="E113" s="123">
        <v>1647.0</v>
      </c>
      <c r="F113" s="126">
        <f t="shared" si="3"/>
        <v>263.0136986</v>
      </c>
      <c r="G113" s="123">
        <v>1480.0</v>
      </c>
      <c r="H113" s="129">
        <f t="shared" si="4"/>
        <v>430.0136986</v>
      </c>
      <c r="I113" s="129">
        <f t="shared" si="108"/>
        <v>426203.2126</v>
      </c>
    </row>
    <row r="114">
      <c r="A114" s="127">
        <v>46844.0</v>
      </c>
      <c r="B114" s="118"/>
      <c r="C114" s="128">
        <f t="shared" ref="C114:D114" si="114">C113-(C$4-(C113*C$2)/12)</f>
        <v>11000</v>
      </c>
      <c r="D114" s="128">
        <f t="shared" si="114"/>
        <v>219201.5441</v>
      </c>
      <c r="E114" s="123">
        <v>1647.0</v>
      </c>
      <c r="F114" s="126">
        <f t="shared" si="3"/>
        <v>263.0136986</v>
      </c>
      <c r="G114" s="123">
        <v>1480.0</v>
      </c>
      <c r="H114" s="129">
        <f t="shared" si="4"/>
        <v>430.0136986</v>
      </c>
      <c r="I114" s="129">
        <f t="shared" si="108"/>
        <v>425691.9037</v>
      </c>
    </row>
    <row r="115">
      <c r="A115" s="127">
        <v>46874.0</v>
      </c>
      <c r="B115" s="118"/>
      <c r="C115" s="128">
        <f t="shared" ref="C115:D115" si="115">C114-(C$4-(C114*C$2)/12)</f>
        <v>10600</v>
      </c>
      <c r="D115" s="128">
        <f t="shared" si="115"/>
        <v>218285.2159</v>
      </c>
      <c r="E115" s="123">
        <v>1647.0</v>
      </c>
      <c r="F115" s="126">
        <f t="shared" si="3"/>
        <v>263.0136986</v>
      </c>
      <c r="G115" s="123">
        <v>1480.0</v>
      </c>
      <c r="H115" s="129">
        <f t="shared" si="4"/>
        <v>430.0136986</v>
      </c>
      <c r="I115" s="129">
        <f t="shared" si="108"/>
        <v>425178.8904</v>
      </c>
    </row>
    <row r="116">
      <c r="A116" s="127">
        <v>46905.0</v>
      </c>
      <c r="B116" s="118"/>
      <c r="C116" s="128">
        <f t="shared" ref="C116:D116" si="116">C115-(C$4-(C115*C$2)/12)</f>
        <v>10200</v>
      </c>
      <c r="D116" s="128">
        <f t="shared" si="116"/>
        <v>217365.8333</v>
      </c>
      <c r="E116" s="123">
        <v>1647.0</v>
      </c>
      <c r="F116" s="126">
        <f t="shared" si="3"/>
        <v>263.0136986</v>
      </c>
      <c r="G116" s="123">
        <v>1480.0</v>
      </c>
      <c r="H116" s="129">
        <f t="shared" si="4"/>
        <v>430.0136986</v>
      </c>
      <c r="I116" s="129">
        <f t="shared" si="108"/>
        <v>424664.1671</v>
      </c>
    </row>
    <row r="117">
      <c r="A117" s="127">
        <v>46935.0</v>
      </c>
      <c r="B117" s="118"/>
      <c r="C117" s="128">
        <f t="shared" ref="C117:D117" si="117">C116-(C$4-(C116*C$2)/12)</f>
        <v>9800</v>
      </c>
      <c r="D117" s="128">
        <f t="shared" si="117"/>
        <v>216443.3861</v>
      </c>
      <c r="E117" s="123">
        <v>1647.0</v>
      </c>
      <c r="F117" s="126">
        <f t="shared" si="3"/>
        <v>263.0136986</v>
      </c>
      <c r="G117" s="123">
        <v>1480.0</v>
      </c>
      <c r="H117" s="129">
        <f t="shared" si="4"/>
        <v>430.0136986</v>
      </c>
      <c r="I117" s="129">
        <f t="shared" si="108"/>
        <v>424147.728</v>
      </c>
    </row>
    <row r="118">
      <c r="A118" s="127">
        <v>46966.0</v>
      </c>
      <c r="B118" s="118"/>
      <c r="C118" s="128">
        <f t="shared" ref="C118:D118" si="118">C117-(C$4-(C117*C$2)/12)</f>
        <v>9400</v>
      </c>
      <c r="D118" s="128">
        <f t="shared" si="118"/>
        <v>215517.864</v>
      </c>
      <c r="E118" s="123">
        <v>1647.0</v>
      </c>
      <c r="F118" s="126">
        <f t="shared" si="3"/>
        <v>263.0136986</v>
      </c>
      <c r="G118" s="123">
        <v>1480.0</v>
      </c>
      <c r="H118" s="129">
        <f t="shared" si="4"/>
        <v>430.0136986</v>
      </c>
      <c r="I118" s="129">
        <f t="shared" si="108"/>
        <v>423629.5675</v>
      </c>
    </row>
    <row r="119">
      <c r="A119" s="127">
        <v>46997.0</v>
      </c>
      <c r="B119" s="118"/>
      <c r="C119" s="128">
        <f t="shared" ref="C119:D119" si="119">C118-(C$4-(C118*C$2)/12)</f>
        <v>9000</v>
      </c>
      <c r="D119" s="128">
        <f t="shared" si="119"/>
        <v>214589.2569</v>
      </c>
      <c r="E119" s="123">
        <v>1647.0</v>
      </c>
      <c r="F119" s="126">
        <f t="shared" si="3"/>
        <v>263.0136986</v>
      </c>
      <c r="G119" s="123">
        <v>1480.0</v>
      </c>
      <c r="H119" s="129">
        <f t="shared" si="4"/>
        <v>430.0136986</v>
      </c>
      <c r="I119" s="129">
        <f t="shared" si="108"/>
        <v>423109.6797</v>
      </c>
    </row>
    <row r="120">
      <c r="A120" s="127">
        <v>47027.0</v>
      </c>
      <c r="B120" s="118"/>
      <c r="C120" s="128">
        <f t="shared" ref="C120:D120" si="120">C119-(C$4-(C119*C$2)/12)</f>
        <v>8600</v>
      </c>
      <c r="D120" s="128">
        <f t="shared" si="120"/>
        <v>213657.5544</v>
      </c>
      <c r="E120" s="123">
        <v>1647.0</v>
      </c>
      <c r="F120" s="126">
        <f t="shared" si="3"/>
        <v>263.0136986</v>
      </c>
      <c r="G120" s="123">
        <v>1480.0</v>
      </c>
      <c r="H120" s="129">
        <f t="shared" si="4"/>
        <v>430.0136986</v>
      </c>
      <c r="I120" s="129">
        <f t="shared" si="108"/>
        <v>422588.059</v>
      </c>
    </row>
    <row r="121">
      <c r="A121" s="127">
        <v>47058.0</v>
      </c>
      <c r="B121" s="118"/>
      <c r="C121" s="128">
        <f t="shared" ref="C121:D121" si="121">C120-(C$4-(C120*C$2)/12)</f>
        <v>8200</v>
      </c>
      <c r="D121" s="128">
        <f t="shared" si="121"/>
        <v>212722.7463</v>
      </c>
      <c r="E121" s="123">
        <v>1647.0</v>
      </c>
      <c r="F121" s="126">
        <f t="shared" si="3"/>
        <v>263.0136986</v>
      </c>
      <c r="G121" s="123">
        <v>1480.0</v>
      </c>
      <c r="H121" s="129">
        <f t="shared" si="4"/>
        <v>430.0136986</v>
      </c>
      <c r="I121" s="129">
        <f t="shared" si="108"/>
        <v>422064.6996</v>
      </c>
    </row>
    <row r="122">
      <c r="A122" s="127">
        <v>47088.0</v>
      </c>
      <c r="B122" s="118"/>
      <c r="C122" s="128">
        <f t="shared" ref="C122:D122" si="122">C121-(C$4-(C121*C$2)/12)</f>
        <v>7800</v>
      </c>
      <c r="D122" s="128">
        <f t="shared" si="122"/>
        <v>211784.8221</v>
      </c>
      <c r="E122" s="123">
        <v>1647.0</v>
      </c>
      <c r="F122" s="126">
        <f t="shared" si="3"/>
        <v>263.0136986</v>
      </c>
      <c r="G122" s="123">
        <v>1480.0</v>
      </c>
      <c r="H122" s="129">
        <f t="shared" si="4"/>
        <v>430.0136986</v>
      </c>
      <c r="I122" s="129">
        <f t="shared" si="108"/>
        <v>421539.5956</v>
      </c>
    </row>
    <row r="123">
      <c r="A123" s="127">
        <v>47119.0</v>
      </c>
      <c r="B123" s="118"/>
      <c r="C123" s="128">
        <f t="shared" ref="C123:D123" si="123">C122-(C$4-(C122*C$2)/12)</f>
        <v>7400</v>
      </c>
      <c r="D123" s="128">
        <f t="shared" si="123"/>
        <v>210843.7715</v>
      </c>
      <c r="E123" s="123">
        <v>1647.0</v>
      </c>
      <c r="F123" s="126">
        <f t="shared" si="3"/>
        <v>263.0136986</v>
      </c>
      <c r="G123" s="123">
        <v>1480.0</v>
      </c>
      <c r="H123" s="129">
        <f t="shared" si="4"/>
        <v>430.0136986</v>
      </c>
      <c r="I123" s="129">
        <f t="shared" si="108"/>
        <v>421012.7413</v>
      </c>
    </row>
    <row r="124">
      <c r="A124" s="127">
        <v>47150.0</v>
      </c>
      <c r="B124" s="118"/>
      <c r="C124" s="128">
        <f t="shared" ref="C124:D124" si="124">C123-(C$4-(C123*C$2)/12)</f>
        <v>7000</v>
      </c>
      <c r="D124" s="128">
        <f t="shared" si="124"/>
        <v>209899.5841</v>
      </c>
      <c r="E124" s="123">
        <v>1647.0</v>
      </c>
      <c r="F124" s="126">
        <f t="shared" si="3"/>
        <v>263.0136986</v>
      </c>
      <c r="G124" s="123">
        <v>1480.0</v>
      </c>
      <c r="H124" s="129">
        <f t="shared" si="4"/>
        <v>430.0136986</v>
      </c>
      <c r="I124" s="129">
        <f t="shared" si="108"/>
        <v>420484.1308</v>
      </c>
    </row>
    <row r="125">
      <c r="A125" s="127">
        <v>47178.0</v>
      </c>
      <c r="B125" s="118"/>
      <c r="C125" s="128">
        <f t="shared" ref="C125:D125" si="125">C124-(C$4-(C124*C$2)/12)</f>
        <v>6600</v>
      </c>
      <c r="D125" s="128">
        <f t="shared" si="125"/>
        <v>208952.2494</v>
      </c>
      <c r="E125" s="123">
        <v>1647.0</v>
      </c>
      <c r="F125" s="126">
        <f t="shared" si="3"/>
        <v>263.0136986</v>
      </c>
      <c r="G125" s="123">
        <v>1480.0</v>
      </c>
      <c r="H125" s="129">
        <f t="shared" si="4"/>
        <v>430.0136986</v>
      </c>
      <c r="I125" s="129">
        <f t="shared" si="108"/>
        <v>419953.7583</v>
      </c>
    </row>
    <row r="126">
      <c r="A126" s="127">
        <v>47209.0</v>
      </c>
      <c r="B126" s="118"/>
      <c r="C126" s="118"/>
      <c r="D126" s="128">
        <f t="shared" ref="D126:D290" si="126">D125-(D$4-(D125*D$2)/12)</f>
        <v>208001.7569</v>
      </c>
      <c r="E126" s="123">
        <v>1647.0</v>
      </c>
      <c r="F126" s="126">
        <f t="shared" si="3"/>
        <v>263.0136986</v>
      </c>
      <c r="G126" s="123">
        <v>1480.0</v>
      </c>
      <c r="H126" s="129">
        <f t="shared" si="4"/>
        <v>430.0136986</v>
      </c>
      <c r="I126" s="129">
        <f t="shared" si="108"/>
        <v>419421.6178</v>
      </c>
    </row>
    <row r="127">
      <c r="A127" s="127">
        <v>47239.0</v>
      </c>
      <c r="B127" s="118"/>
      <c r="C127" s="118"/>
      <c r="D127" s="128">
        <f t="shared" si="126"/>
        <v>207048.0961</v>
      </c>
      <c r="E127" s="123">
        <v>1647.0</v>
      </c>
      <c r="F127" s="126">
        <f t="shared" si="3"/>
        <v>263.0136986</v>
      </c>
      <c r="G127" s="123">
        <v>1480.0</v>
      </c>
      <c r="H127" s="129">
        <f t="shared" si="4"/>
        <v>430.0136986</v>
      </c>
      <c r="I127" s="129">
        <f t="shared" si="108"/>
        <v>418887.7036</v>
      </c>
    </row>
    <row r="128">
      <c r="A128" s="127">
        <v>47270.0</v>
      </c>
      <c r="B128" s="118"/>
      <c r="C128" s="118"/>
      <c r="D128" s="128">
        <f t="shared" si="126"/>
        <v>206091.2564</v>
      </c>
      <c r="E128" s="123">
        <v>1647.0</v>
      </c>
      <c r="F128" s="126">
        <f t="shared" si="3"/>
        <v>263.0136986</v>
      </c>
      <c r="G128" s="123">
        <v>1480.0</v>
      </c>
      <c r="H128" s="129">
        <f t="shared" si="4"/>
        <v>430.0136986</v>
      </c>
      <c r="I128" s="129">
        <f t="shared" si="108"/>
        <v>418352.0096</v>
      </c>
    </row>
    <row r="129">
      <c r="A129" s="127">
        <v>47300.0</v>
      </c>
      <c r="B129" s="118"/>
      <c r="C129" s="118"/>
      <c r="D129" s="128">
        <f t="shared" si="126"/>
        <v>205131.2272</v>
      </c>
      <c r="E129" s="123">
        <v>1647.0</v>
      </c>
      <c r="F129" s="126">
        <f t="shared" si="3"/>
        <v>263.0136986</v>
      </c>
      <c r="G129" s="123">
        <v>1480.0</v>
      </c>
      <c r="H129" s="129">
        <f t="shared" si="4"/>
        <v>430.0136986</v>
      </c>
      <c r="I129" s="129">
        <f t="shared" si="108"/>
        <v>417814.53</v>
      </c>
    </row>
    <row r="130">
      <c r="A130" s="127">
        <v>47331.0</v>
      </c>
      <c r="B130" s="118"/>
      <c r="C130" s="118"/>
      <c r="D130" s="128">
        <f t="shared" si="126"/>
        <v>204167.998</v>
      </c>
      <c r="E130" s="123">
        <v>1647.0</v>
      </c>
      <c r="F130" s="126">
        <f t="shared" si="3"/>
        <v>263.0136986</v>
      </c>
      <c r="G130" s="123">
        <v>1480.0</v>
      </c>
      <c r="H130" s="129">
        <f t="shared" si="4"/>
        <v>430.0136986</v>
      </c>
      <c r="I130" s="129">
        <f t="shared" si="108"/>
        <v>417275.2588</v>
      </c>
    </row>
    <row r="131">
      <c r="A131" s="127">
        <v>47362.0</v>
      </c>
      <c r="B131" s="118"/>
      <c r="C131" s="118"/>
      <c r="D131" s="128">
        <f t="shared" si="126"/>
        <v>203201.558</v>
      </c>
      <c r="E131" s="123">
        <v>1647.0</v>
      </c>
      <c r="F131" s="126">
        <f t="shared" si="3"/>
        <v>263.0136986</v>
      </c>
      <c r="G131" s="123">
        <v>1480.0</v>
      </c>
      <c r="H131" s="129">
        <f t="shared" si="4"/>
        <v>430.0136986</v>
      </c>
      <c r="I131" s="129">
        <f t="shared" si="108"/>
        <v>416734.1901</v>
      </c>
    </row>
    <row r="132">
      <c r="A132" s="127">
        <v>47392.0</v>
      </c>
      <c r="B132" s="118"/>
      <c r="C132" s="118"/>
      <c r="D132" s="128">
        <f t="shared" si="126"/>
        <v>202231.8965</v>
      </c>
      <c r="E132" s="123">
        <v>1647.0</v>
      </c>
      <c r="F132" s="126">
        <f t="shared" si="3"/>
        <v>263.0136986</v>
      </c>
      <c r="G132" s="123">
        <v>1480.0</v>
      </c>
      <c r="H132" s="129">
        <f t="shared" si="4"/>
        <v>430.0136986</v>
      </c>
      <c r="I132" s="129">
        <f t="shared" si="108"/>
        <v>416191.3177</v>
      </c>
    </row>
    <row r="133">
      <c r="A133" s="127">
        <v>47423.0</v>
      </c>
      <c r="B133" s="118"/>
      <c r="C133" s="118"/>
      <c r="D133" s="128">
        <f t="shared" si="126"/>
        <v>201259.0028</v>
      </c>
      <c r="E133" s="123">
        <v>1647.0</v>
      </c>
      <c r="F133" s="126">
        <f t="shared" si="3"/>
        <v>263.0136986</v>
      </c>
      <c r="G133" s="123">
        <v>1480.0</v>
      </c>
      <c r="H133" s="129">
        <f t="shared" si="4"/>
        <v>430.0136986</v>
      </c>
      <c r="I133" s="129">
        <f t="shared" si="108"/>
        <v>415646.6358</v>
      </c>
    </row>
    <row r="134">
      <c r="A134" s="127">
        <v>47453.0</v>
      </c>
      <c r="B134" s="118"/>
      <c r="C134" s="118"/>
      <c r="D134" s="128">
        <f t="shared" si="126"/>
        <v>200282.8662</v>
      </c>
      <c r="E134" s="123">
        <v>1647.0</v>
      </c>
      <c r="F134" s="126">
        <f t="shared" si="3"/>
        <v>263.0136986</v>
      </c>
      <c r="G134" s="123">
        <v>1480.0</v>
      </c>
      <c r="H134" s="129">
        <f t="shared" si="4"/>
        <v>430.0136986</v>
      </c>
      <c r="I134" s="129">
        <f t="shared" si="108"/>
        <v>415100.1383</v>
      </c>
    </row>
    <row r="135">
      <c r="A135" s="127">
        <v>47484.0</v>
      </c>
      <c r="B135" s="118"/>
      <c r="C135" s="118"/>
      <c r="D135" s="128">
        <f t="shared" si="126"/>
        <v>199303.4757</v>
      </c>
      <c r="E135" s="123">
        <v>1647.0</v>
      </c>
      <c r="F135" s="126">
        <f t="shared" si="3"/>
        <v>263.0136986</v>
      </c>
      <c r="G135" s="123">
        <v>1480.0</v>
      </c>
      <c r="H135" s="129">
        <f t="shared" si="4"/>
        <v>430.0136986</v>
      </c>
      <c r="I135" s="129">
        <f t="shared" si="108"/>
        <v>414551.8191</v>
      </c>
    </row>
    <row r="136">
      <c r="A136" s="127">
        <v>47515.0</v>
      </c>
      <c r="B136" s="118"/>
      <c r="C136" s="118"/>
      <c r="D136" s="128">
        <f t="shared" si="126"/>
        <v>198320.8206</v>
      </c>
      <c r="E136" s="123">
        <v>1647.0</v>
      </c>
      <c r="F136" s="126">
        <f t="shared" si="3"/>
        <v>263.0136986</v>
      </c>
      <c r="G136" s="123">
        <v>1480.0</v>
      </c>
      <c r="H136" s="129">
        <f t="shared" si="4"/>
        <v>430.0136986</v>
      </c>
      <c r="I136" s="129">
        <f t="shared" si="108"/>
        <v>414001.6722</v>
      </c>
    </row>
    <row r="137">
      <c r="A137" s="127">
        <v>47543.0</v>
      </c>
      <c r="B137" s="118"/>
      <c r="C137" s="118"/>
      <c r="D137" s="128">
        <f t="shared" si="126"/>
        <v>197334.89</v>
      </c>
      <c r="E137" s="123">
        <v>1647.0</v>
      </c>
      <c r="F137" s="126">
        <f t="shared" si="3"/>
        <v>263.0136986</v>
      </c>
      <c r="G137" s="123">
        <v>1480.0</v>
      </c>
      <c r="H137" s="129">
        <f t="shared" si="4"/>
        <v>430.0136986</v>
      </c>
      <c r="I137" s="129">
        <f t="shared" si="108"/>
        <v>413449.6915</v>
      </c>
    </row>
    <row r="138">
      <c r="A138" s="127">
        <v>47574.0</v>
      </c>
      <c r="B138" s="118"/>
      <c r="C138" s="118"/>
      <c r="D138" s="128">
        <f t="shared" si="126"/>
        <v>196345.673</v>
      </c>
      <c r="E138" s="123">
        <v>1647.0</v>
      </c>
      <c r="F138" s="126">
        <f t="shared" si="3"/>
        <v>263.0136986</v>
      </c>
      <c r="G138" s="123">
        <v>1480.0</v>
      </c>
      <c r="H138" s="129">
        <f t="shared" si="4"/>
        <v>430.0136986</v>
      </c>
      <c r="I138" s="129">
        <f t="shared" si="108"/>
        <v>412895.8708</v>
      </c>
    </row>
    <row r="139">
      <c r="A139" s="127">
        <v>47604.0</v>
      </c>
      <c r="B139" s="118"/>
      <c r="C139" s="118"/>
      <c r="D139" s="128">
        <f t="shared" si="126"/>
        <v>195353.1586</v>
      </c>
      <c r="E139" s="123">
        <v>1647.0</v>
      </c>
      <c r="F139" s="126">
        <f t="shared" si="3"/>
        <v>263.0136986</v>
      </c>
      <c r="G139" s="123">
        <v>1480.0</v>
      </c>
      <c r="H139" s="129">
        <f t="shared" si="4"/>
        <v>430.0136986</v>
      </c>
      <c r="I139" s="129">
        <f t="shared" si="108"/>
        <v>412340.2041</v>
      </c>
    </row>
    <row r="140">
      <c r="A140" s="127">
        <v>47635.0</v>
      </c>
      <c r="B140" s="118"/>
      <c r="C140" s="118"/>
      <c r="D140" s="128">
        <f t="shared" si="126"/>
        <v>194357.3358</v>
      </c>
      <c r="E140" s="123">
        <v>1647.0</v>
      </c>
      <c r="F140" s="126">
        <f t="shared" si="3"/>
        <v>263.0136986</v>
      </c>
      <c r="G140" s="123">
        <v>1480.0</v>
      </c>
      <c r="H140" s="129">
        <f t="shared" si="4"/>
        <v>430.0136986</v>
      </c>
      <c r="I140" s="129">
        <f t="shared" si="108"/>
        <v>411782.6852</v>
      </c>
    </row>
    <row r="141">
      <c r="A141" s="127">
        <v>47665.0</v>
      </c>
      <c r="B141" s="118"/>
      <c r="C141" s="118"/>
      <c r="D141" s="128">
        <f t="shared" si="126"/>
        <v>193358.1936</v>
      </c>
      <c r="E141" s="123">
        <v>1647.0</v>
      </c>
      <c r="F141" s="126">
        <f t="shared" si="3"/>
        <v>263.0136986</v>
      </c>
      <c r="G141" s="123">
        <v>1480.0</v>
      </c>
      <c r="H141" s="129">
        <f t="shared" si="4"/>
        <v>430.0136986</v>
      </c>
      <c r="I141" s="129">
        <f t="shared" si="108"/>
        <v>411223.3078</v>
      </c>
    </row>
    <row r="142">
      <c r="A142" s="127">
        <v>47696.0</v>
      </c>
      <c r="B142" s="118"/>
      <c r="C142" s="118"/>
      <c r="D142" s="128">
        <f t="shared" si="126"/>
        <v>192355.7209</v>
      </c>
      <c r="E142" s="123">
        <v>1647.0</v>
      </c>
      <c r="F142" s="126">
        <f t="shared" si="3"/>
        <v>263.0136986</v>
      </c>
      <c r="G142" s="123">
        <v>1480.0</v>
      </c>
      <c r="H142" s="129">
        <f t="shared" si="4"/>
        <v>430.0136986</v>
      </c>
      <c r="I142" s="129">
        <f t="shared" si="108"/>
        <v>410662.0659</v>
      </c>
    </row>
    <row r="143">
      <c r="A143" s="127">
        <v>47727.0</v>
      </c>
      <c r="B143" s="118"/>
      <c r="C143" s="118"/>
      <c r="D143" s="128">
        <f t="shared" si="126"/>
        <v>191349.9066</v>
      </c>
      <c r="E143" s="123">
        <v>1647.0</v>
      </c>
      <c r="F143" s="126">
        <f t="shared" si="3"/>
        <v>263.0136986</v>
      </c>
      <c r="G143" s="123">
        <v>1480.0</v>
      </c>
      <c r="H143" s="129">
        <f t="shared" si="4"/>
        <v>430.0136986</v>
      </c>
      <c r="I143" s="129">
        <f t="shared" si="108"/>
        <v>410098.9531</v>
      </c>
    </row>
    <row r="144">
      <c r="A144" s="127">
        <v>47757.0</v>
      </c>
      <c r="B144" s="118"/>
      <c r="C144" s="118"/>
      <c r="D144" s="128">
        <f t="shared" si="126"/>
        <v>190340.7396</v>
      </c>
      <c r="E144" s="123">
        <v>1647.0</v>
      </c>
      <c r="F144" s="126">
        <f t="shared" si="3"/>
        <v>263.0136986</v>
      </c>
      <c r="G144" s="123">
        <v>1480.0</v>
      </c>
      <c r="H144" s="129">
        <f t="shared" si="4"/>
        <v>430.0136986</v>
      </c>
      <c r="I144" s="129">
        <f t="shared" si="108"/>
        <v>409533.9633</v>
      </c>
    </row>
    <row r="145">
      <c r="A145" s="127">
        <v>47788.0</v>
      </c>
      <c r="B145" s="118"/>
      <c r="C145" s="118"/>
      <c r="D145" s="128">
        <f t="shared" si="126"/>
        <v>189328.2088</v>
      </c>
      <c r="E145" s="123">
        <v>1647.0</v>
      </c>
      <c r="F145" s="126">
        <f t="shared" si="3"/>
        <v>263.0136986</v>
      </c>
      <c r="G145" s="123">
        <v>1480.0</v>
      </c>
      <c r="H145" s="129">
        <f t="shared" si="4"/>
        <v>430.0136986</v>
      </c>
      <c r="I145" s="129">
        <f t="shared" si="108"/>
        <v>408967.0902</v>
      </c>
    </row>
    <row r="146">
      <c r="A146" s="127">
        <v>47818.0</v>
      </c>
      <c r="B146" s="118"/>
      <c r="C146" s="118"/>
      <c r="D146" s="128">
        <f t="shared" si="126"/>
        <v>188312.3028</v>
      </c>
      <c r="E146" s="123">
        <v>1647.0</v>
      </c>
      <c r="F146" s="126">
        <f t="shared" si="3"/>
        <v>263.0136986</v>
      </c>
      <c r="G146" s="123">
        <v>1480.0</v>
      </c>
      <c r="H146" s="129">
        <f t="shared" si="4"/>
        <v>430.0136986</v>
      </c>
      <c r="I146" s="129">
        <f t="shared" si="108"/>
        <v>408398.3276</v>
      </c>
    </row>
    <row r="147">
      <c r="A147" s="127">
        <v>47849.0</v>
      </c>
      <c r="B147" s="118"/>
      <c r="C147" s="118"/>
      <c r="D147" s="128">
        <f t="shared" si="126"/>
        <v>187293.0105</v>
      </c>
      <c r="E147" s="123">
        <v>1647.0</v>
      </c>
      <c r="F147" s="126">
        <f t="shared" si="3"/>
        <v>263.0136986</v>
      </c>
      <c r="G147" s="123">
        <v>1480.0</v>
      </c>
      <c r="H147" s="129">
        <f t="shared" si="4"/>
        <v>430.0136986</v>
      </c>
      <c r="I147" s="129">
        <f t="shared" si="108"/>
        <v>407827.669</v>
      </c>
    </row>
    <row r="148">
      <c r="A148" s="127">
        <v>47880.0</v>
      </c>
      <c r="B148" s="118"/>
      <c r="C148" s="118"/>
      <c r="D148" s="128">
        <f t="shared" si="126"/>
        <v>186270.3205</v>
      </c>
      <c r="E148" s="123">
        <v>1647.0</v>
      </c>
      <c r="F148" s="126">
        <f t="shared" si="3"/>
        <v>263.0136986</v>
      </c>
      <c r="G148" s="123">
        <v>1480.0</v>
      </c>
      <c r="H148" s="129">
        <f t="shared" si="4"/>
        <v>430.0136986</v>
      </c>
      <c r="I148" s="129">
        <f t="shared" si="108"/>
        <v>407255.1083</v>
      </c>
    </row>
    <row r="149">
      <c r="A149" s="127">
        <v>47908.0</v>
      </c>
      <c r="B149" s="118"/>
      <c r="C149" s="118"/>
      <c r="D149" s="128">
        <f t="shared" si="126"/>
        <v>185244.2216</v>
      </c>
      <c r="E149" s="123">
        <v>1647.0</v>
      </c>
      <c r="F149" s="126">
        <f t="shared" si="3"/>
        <v>263.0136986</v>
      </c>
      <c r="G149" s="123">
        <v>1480.0</v>
      </c>
      <c r="H149" s="129">
        <f t="shared" si="4"/>
        <v>430.0136986</v>
      </c>
      <c r="I149" s="129">
        <f t="shared" si="108"/>
        <v>406680.639</v>
      </c>
    </row>
    <row r="150">
      <c r="A150" s="127">
        <v>47939.0</v>
      </c>
      <c r="B150" s="118"/>
      <c r="C150" s="118"/>
      <c r="D150" s="128">
        <f t="shared" si="126"/>
        <v>184214.7023</v>
      </c>
      <c r="E150" s="123">
        <v>1647.0</v>
      </c>
      <c r="F150" s="126">
        <f t="shared" si="3"/>
        <v>263.0136986</v>
      </c>
      <c r="G150" s="123">
        <v>1480.0</v>
      </c>
      <c r="H150" s="129">
        <f t="shared" si="4"/>
        <v>430.0136986</v>
      </c>
      <c r="I150" s="129">
        <f t="shared" si="108"/>
        <v>406104.2548</v>
      </c>
    </row>
    <row r="151">
      <c r="A151" s="127">
        <v>47969.0</v>
      </c>
      <c r="B151" s="118"/>
      <c r="C151" s="118"/>
      <c r="D151" s="128">
        <f t="shared" si="126"/>
        <v>183181.7513</v>
      </c>
      <c r="E151" s="123">
        <v>1647.0</v>
      </c>
      <c r="F151" s="126">
        <f t="shared" si="3"/>
        <v>263.0136986</v>
      </c>
      <c r="G151" s="123">
        <v>1480.0</v>
      </c>
      <c r="H151" s="129">
        <f t="shared" si="4"/>
        <v>430.0136986</v>
      </c>
      <c r="I151" s="129">
        <f t="shared" si="108"/>
        <v>405525.9494</v>
      </c>
    </row>
    <row r="152">
      <c r="A152" s="127">
        <v>48000.0</v>
      </c>
      <c r="B152" s="118"/>
      <c r="C152" s="118"/>
      <c r="D152" s="128">
        <f t="shared" si="126"/>
        <v>182145.3572</v>
      </c>
      <c r="E152" s="123">
        <v>1647.0</v>
      </c>
      <c r="F152" s="126">
        <f t="shared" si="3"/>
        <v>263.0136986</v>
      </c>
      <c r="G152" s="123">
        <v>1480.0</v>
      </c>
      <c r="H152" s="129">
        <f t="shared" si="4"/>
        <v>430.0136986</v>
      </c>
      <c r="I152" s="129">
        <f t="shared" si="108"/>
        <v>404945.7163</v>
      </c>
    </row>
    <row r="153">
      <c r="A153" s="127">
        <v>48030.0</v>
      </c>
      <c r="B153" s="118"/>
      <c r="C153" s="118"/>
      <c r="D153" s="128">
        <f t="shared" si="126"/>
        <v>181105.5084</v>
      </c>
      <c r="E153" s="123">
        <v>1647.0</v>
      </c>
      <c r="F153" s="126">
        <f t="shared" si="3"/>
        <v>263.0136986</v>
      </c>
      <c r="G153" s="123">
        <v>1480.0</v>
      </c>
      <c r="H153" s="129">
        <f t="shared" si="4"/>
        <v>430.0136986</v>
      </c>
      <c r="I153" s="129">
        <f t="shared" si="108"/>
        <v>404363.549</v>
      </c>
    </row>
    <row r="154">
      <c r="A154" s="127">
        <v>48061.0</v>
      </c>
      <c r="B154" s="118"/>
      <c r="C154" s="118"/>
      <c r="D154" s="128">
        <f t="shared" si="126"/>
        <v>180062.1934</v>
      </c>
      <c r="E154" s="123">
        <v>1647.0</v>
      </c>
      <c r="F154" s="126">
        <f t="shared" si="3"/>
        <v>263.0136986</v>
      </c>
      <c r="G154" s="123">
        <v>1480.0</v>
      </c>
      <c r="H154" s="129">
        <f t="shared" si="4"/>
        <v>430.0136986</v>
      </c>
      <c r="I154" s="129">
        <f t="shared" si="108"/>
        <v>403779.4412</v>
      </c>
    </row>
    <row r="155">
      <c r="A155" s="127">
        <v>48092.0</v>
      </c>
      <c r="B155" s="118"/>
      <c r="C155" s="118"/>
      <c r="D155" s="128">
        <f t="shared" si="126"/>
        <v>179015.4007</v>
      </c>
      <c r="E155" s="123">
        <v>1647.0</v>
      </c>
      <c r="F155" s="126">
        <f t="shared" si="3"/>
        <v>263.0136986</v>
      </c>
      <c r="G155" s="123">
        <v>1480.0</v>
      </c>
      <c r="H155" s="129">
        <f t="shared" si="4"/>
        <v>430.0136986</v>
      </c>
      <c r="I155" s="129">
        <f t="shared" si="108"/>
        <v>403193.3864</v>
      </c>
    </row>
    <row r="156">
      <c r="A156" s="127">
        <v>48122.0</v>
      </c>
      <c r="B156" s="118"/>
      <c r="C156" s="118"/>
      <c r="D156" s="128">
        <f t="shared" si="126"/>
        <v>177965.1187</v>
      </c>
      <c r="E156" s="123">
        <v>1647.0</v>
      </c>
      <c r="F156" s="126">
        <f t="shared" si="3"/>
        <v>263.0136986</v>
      </c>
      <c r="G156" s="123">
        <v>1480.0</v>
      </c>
      <c r="H156" s="129">
        <f t="shared" si="4"/>
        <v>430.0136986</v>
      </c>
      <c r="I156" s="129">
        <f t="shared" si="108"/>
        <v>402605.378</v>
      </c>
    </row>
    <row r="157">
      <c r="A157" s="127">
        <v>48153.0</v>
      </c>
      <c r="B157" s="118"/>
      <c r="C157" s="118"/>
      <c r="D157" s="128">
        <f t="shared" si="126"/>
        <v>176911.3358</v>
      </c>
      <c r="E157" s="123">
        <v>1647.0</v>
      </c>
      <c r="F157" s="126">
        <f t="shared" si="3"/>
        <v>263.0136986</v>
      </c>
      <c r="G157" s="123">
        <v>1480.0</v>
      </c>
      <c r="H157" s="129">
        <f t="shared" si="4"/>
        <v>430.0136986</v>
      </c>
      <c r="I157" s="129">
        <f t="shared" si="108"/>
        <v>402015.4096</v>
      </c>
    </row>
    <row r="158">
      <c r="A158" s="127">
        <v>48183.0</v>
      </c>
      <c r="B158" s="118"/>
      <c r="C158" s="118"/>
      <c r="D158" s="128">
        <f t="shared" si="126"/>
        <v>175854.0402</v>
      </c>
      <c r="E158" s="123">
        <v>1647.0</v>
      </c>
      <c r="F158" s="126">
        <f t="shared" si="3"/>
        <v>263.0136986</v>
      </c>
      <c r="G158" s="123">
        <v>1480.0</v>
      </c>
      <c r="H158" s="129">
        <f t="shared" si="4"/>
        <v>430.0136986</v>
      </c>
      <c r="I158" s="129">
        <f t="shared" si="108"/>
        <v>401423.4747</v>
      </c>
    </row>
    <row r="159">
      <c r="A159" s="127">
        <v>48214.0</v>
      </c>
      <c r="B159" s="118"/>
      <c r="C159" s="118"/>
      <c r="D159" s="128">
        <f t="shared" si="126"/>
        <v>174793.2203</v>
      </c>
      <c r="E159" s="123">
        <v>1647.0</v>
      </c>
      <c r="F159" s="126">
        <f t="shared" si="3"/>
        <v>263.0136986</v>
      </c>
      <c r="G159" s="123">
        <v>1480.0</v>
      </c>
      <c r="H159" s="129">
        <f t="shared" si="4"/>
        <v>430.0136986</v>
      </c>
      <c r="I159" s="129">
        <f t="shared" si="108"/>
        <v>400829.5667</v>
      </c>
    </row>
    <row r="160">
      <c r="A160" s="127">
        <v>48245.0</v>
      </c>
      <c r="B160" s="118"/>
      <c r="C160" s="118"/>
      <c r="D160" s="128">
        <f t="shared" si="126"/>
        <v>173728.8644</v>
      </c>
      <c r="E160" s="123">
        <v>1647.0</v>
      </c>
      <c r="F160" s="126">
        <f t="shared" si="3"/>
        <v>263.0136986</v>
      </c>
      <c r="G160" s="123">
        <v>1480.0</v>
      </c>
      <c r="H160" s="129">
        <f t="shared" si="4"/>
        <v>430.0136986</v>
      </c>
      <c r="I160" s="129">
        <f t="shared" si="108"/>
        <v>400233.6789</v>
      </c>
    </row>
    <row r="161">
      <c r="A161" s="127">
        <v>48274.0</v>
      </c>
      <c r="B161" s="118"/>
      <c r="C161" s="118"/>
      <c r="D161" s="128">
        <f t="shared" si="126"/>
        <v>172660.9606</v>
      </c>
      <c r="E161" s="123">
        <v>1647.0</v>
      </c>
      <c r="F161" s="126">
        <f t="shared" si="3"/>
        <v>263.0136986</v>
      </c>
      <c r="G161" s="123">
        <v>1480.0</v>
      </c>
      <c r="H161" s="129">
        <f t="shared" si="4"/>
        <v>430.0136986</v>
      </c>
      <c r="I161" s="129">
        <f t="shared" si="108"/>
        <v>399635.8049</v>
      </c>
    </row>
    <row r="162">
      <c r="A162" s="127">
        <v>48305.0</v>
      </c>
      <c r="B162" s="118"/>
      <c r="C162" s="118"/>
      <c r="D162" s="128">
        <f t="shared" si="126"/>
        <v>171589.4972</v>
      </c>
      <c r="E162" s="123">
        <v>1647.0</v>
      </c>
      <c r="F162" s="126">
        <f t="shared" si="3"/>
        <v>263.0136986</v>
      </c>
      <c r="G162" s="123">
        <v>1480.0</v>
      </c>
      <c r="H162" s="129">
        <f t="shared" si="4"/>
        <v>430.0136986</v>
      </c>
      <c r="I162" s="129">
        <f t="shared" si="108"/>
        <v>399035.9379</v>
      </c>
    </row>
    <row r="163">
      <c r="A163" s="127">
        <v>48335.0</v>
      </c>
      <c r="B163" s="118"/>
      <c r="C163" s="118"/>
      <c r="D163" s="128">
        <f t="shared" si="126"/>
        <v>170514.4622</v>
      </c>
      <c r="E163" s="123">
        <v>1647.0</v>
      </c>
      <c r="F163" s="126">
        <f t="shared" si="3"/>
        <v>263.0136986</v>
      </c>
      <c r="G163" s="123">
        <v>1480.0</v>
      </c>
      <c r="H163" s="129">
        <f t="shared" si="4"/>
        <v>430.0136986</v>
      </c>
      <c r="I163" s="129">
        <f t="shared" si="108"/>
        <v>398434.0714</v>
      </c>
    </row>
    <row r="164">
      <c r="A164" s="127">
        <v>48366.0</v>
      </c>
      <c r="B164" s="118"/>
      <c r="C164" s="118"/>
      <c r="D164" s="128">
        <f t="shared" si="126"/>
        <v>169435.8437</v>
      </c>
      <c r="E164" s="123">
        <v>1647.0</v>
      </c>
      <c r="F164" s="126">
        <f t="shared" si="3"/>
        <v>263.0136986</v>
      </c>
      <c r="G164" s="123">
        <v>1480.0</v>
      </c>
      <c r="H164" s="129">
        <f t="shared" si="4"/>
        <v>430.0136986</v>
      </c>
      <c r="I164" s="129">
        <f t="shared" si="108"/>
        <v>397830.1987</v>
      </c>
    </row>
    <row r="165">
      <c r="A165" s="127">
        <v>48396.0</v>
      </c>
      <c r="B165" s="118"/>
      <c r="C165" s="118"/>
      <c r="D165" s="128">
        <f t="shared" si="126"/>
        <v>168353.6298</v>
      </c>
      <c r="E165" s="123">
        <v>1647.0</v>
      </c>
      <c r="F165" s="126">
        <f t="shared" si="3"/>
        <v>263.0136986</v>
      </c>
      <c r="G165" s="123">
        <v>1480.0</v>
      </c>
      <c r="H165" s="129">
        <f t="shared" si="4"/>
        <v>430.0136986</v>
      </c>
      <c r="I165" s="129">
        <f t="shared" si="108"/>
        <v>397224.313</v>
      </c>
    </row>
    <row r="166">
      <c r="A166" s="127">
        <v>48427.0</v>
      </c>
      <c r="B166" s="118"/>
      <c r="C166" s="118"/>
      <c r="D166" s="128">
        <f t="shared" si="126"/>
        <v>167267.8086</v>
      </c>
      <c r="E166" s="123">
        <v>1647.0</v>
      </c>
      <c r="F166" s="126">
        <f t="shared" si="3"/>
        <v>263.0136986</v>
      </c>
      <c r="G166" s="123">
        <v>1480.0</v>
      </c>
      <c r="H166" s="129">
        <f t="shared" si="4"/>
        <v>430.0136986</v>
      </c>
      <c r="I166" s="129">
        <f t="shared" si="108"/>
        <v>396616.4078</v>
      </c>
    </row>
    <row r="167">
      <c r="A167" s="127">
        <v>48458.0</v>
      </c>
      <c r="B167" s="118"/>
      <c r="C167" s="118"/>
      <c r="D167" s="128">
        <f t="shared" si="126"/>
        <v>166178.368</v>
      </c>
      <c r="E167" s="123">
        <v>1647.0</v>
      </c>
      <c r="F167" s="126">
        <f t="shared" si="3"/>
        <v>263.0136986</v>
      </c>
      <c r="G167" s="123">
        <v>1480.0</v>
      </c>
      <c r="H167" s="129">
        <f t="shared" si="4"/>
        <v>430.0136986</v>
      </c>
      <c r="I167" s="129">
        <f t="shared" si="108"/>
        <v>396006.4762</v>
      </c>
    </row>
    <row r="168">
      <c r="A168" s="127">
        <v>48488.0</v>
      </c>
      <c r="B168" s="118"/>
      <c r="C168" s="118"/>
      <c r="D168" s="128">
        <f t="shared" si="126"/>
        <v>165085.2959</v>
      </c>
      <c r="E168" s="123">
        <v>1647.0</v>
      </c>
      <c r="F168" s="126">
        <f t="shared" si="3"/>
        <v>263.0136986</v>
      </c>
      <c r="G168" s="123">
        <v>1480.0</v>
      </c>
      <c r="H168" s="129">
        <f t="shared" si="4"/>
        <v>430.0136986</v>
      </c>
      <c r="I168" s="129">
        <f t="shared" si="108"/>
        <v>395394.5115</v>
      </c>
    </row>
    <row r="169">
      <c r="A169" s="127">
        <v>48519.0</v>
      </c>
      <c r="B169" s="118"/>
      <c r="C169" s="118"/>
      <c r="D169" s="128">
        <f t="shared" si="126"/>
        <v>163988.5802</v>
      </c>
      <c r="E169" s="123">
        <v>1647.0</v>
      </c>
      <c r="F169" s="126">
        <f t="shared" si="3"/>
        <v>263.0136986</v>
      </c>
      <c r="G169" s="123">
        <v>1480.0</v>
      </c>
      <c r="H169" s="129">
        <f t="shared" si="4"/>
        <v>430.0136986</v>
      </c>
      <c r="I169" s="129">
        <f t="shared" si="108"/>
        <v>394780.5069</v>
      </c>
    </row>
    <row r="170">
      <c r="A170" s="127">
        <v>48549.0</v>
      </c>
      <c r="B170" s="118"/>
      <c r="C170" s="118"/>
      <c r="D170" s="128">
        <f t="shared" si="126"/>
        <v>162888.2088</v>
      </c>
      <c r="E170" s="123">
        <v>1647.0</v>
      </c>
      <c r="F170" s="126">
        <f t="shared" si="3"/>
        <v>263.0136986</v>
      </c>
      <c r="G170" s="123">
        <v>1480.0</v>
      </c>
      <c r="H170" s="129">
        <f t="shared" si="4"/>
        <v>430.0136986</v>
      </c>
      <c r="I170" s="129">
        <f t="shared" si="108"/>
        <v>394164.4556</v>
      </c>
    </row>
    <row r="171">
      <c r="A171" s="127">
        <v>48580.0</v>
      </c>
      <c r="B171" s="118"/>
      <c r="C171" s="118"/>
      <c r="D171" s="128">
        <f t="shared" si="126"/>
        <v>161784.1695</v>
      </c>
      <c r="E171" s="123">
        <v>1647.0</v>
      </c>
      <c r="F171" s="126">
        <f t="shared" si="3"/>
        <v>263.0136986</v>
      </c>
      <c r="G171" s="123">
        <v>1480.0</v>
      </c>
      <c r="H171" s="129">
        <f t="shared" si="4"/>
        <v>430.0136986</v>
      </c>
      <c r="I171" s="129">
        <f t="shared" si="108"/>
        <v>393546.3508</v>
      </c>
    </row>
    <row r="172">
      <c r="A172" s="127">
        <v>48611.0</v>
      </c>
      <c r="B172" s="118"/>
      <c r="C172" s="118"/>
      <c r="D172" s="128">
        <f t="shared" si="126"/>
        <v>160676.45</v>
      </c>
      <c r="E172" s="123">
        <v>1647.0</v>
      </c>
      <c r="F172" s="126">
        <f t="shared" si="3"/>
        <v>263.0136986</v>
      </c>
      <c r="G172" s="123">
        <v>1480.0</v>
      </c>
      <c r="H172" s="129">
        <f t="shared" si="4"/>
        <v>430.0136986</v>
      </c>
      <c r="I172" s="129">
        <f t="shared" si="108"/>
        <v>392926.1857</v>
      </c>
    </row>
    <row r="173">
      <c r="A173" s="127">
        <v>48639.0</v>
      </c>
      <c r="B173" s="118"/>
      <c r="C173" s="118"/>
      <c r="D173" s="128">
        <f t="shared" si="126"/>
        <v>159565.0382</v>
      </c>
      <c r="E173" s="123">
        <v>1647.0</v>
      </c>
      <c r="F173" s="126">
        <f t="shared" si="3"/>
        <v>263.0136986</v>
      </c>
      <c r="G173" s="123">
        <v>1480.0</v>
      </c>
      <c r="H173" s="129">
        <f t="shared" si="4"/>
        <v>430.0136986</v>
      </c>
      <c r="I173" s="129">
        <f t="shared" si="108"/>
        <v>392303.9533</v>
      </c>
    </row>
    <row r="174">
      <c r="A174" s="127">
        <v>48670.0</v>
      </c>
      <c r="B174" s="118"/>
      <c r="C174" s="118"/>
      <c r="D174" s="128">
        <f t="shared" si="126"/>
        <v>158449.9217</v>
      </c>
      <c r="E174" s="123">
        <v>1647.0</v>
      </c>
      <c r="F174" s="126">
        <f t="shared" si="3"/>
        <v>263.0136986</v>
      </c>
      <c r="G174" s="123">
        <v>1480.0</v>
      </c>
      <c r="H174" s="129">
        <f t="shared" si="4"/>
        <v>430.0136986</v>
      </c>
      <c r="I174" s="129">
        <f t="shared" si="108"/>
        <v>391679.6469</v>
      </c>
    </row>
    <row r="175">
      <c r="A175" s="127">
        <v>48700.0</v>
      </c>
      <c r="B175" s="118"/>
      <c r="C175" s="118"/>
      <c r="D175" s="128">
        <f t="shared" si="126"/>
        <v>157331.0881</v>
      </c>
      <c r="E175" s="123">
        <v>1647.0</v>
      </c>
      <c r="F175" s="126">
        <f t="shared" si="3"/>
        <v>263.0136986</v>
      </c>
      <c r="G175" s="123">
        <v>1480.0</v>
      </c>
      <c r="H175" s="129">
        <f t="shared" si="4"/>
        <v>430.0136986</v>
      </c>
      <c r="I175" s="129">
        <f t="shared" si="108"/>
        <v>391053.2594</v>
      </c>
    </row>
    <row r="176">
      <c r="A176" s="127">
        <v>48731.0</v>
      </c>
      <c r="B176" s="118"/>
      <c r="C176" s="118"/>
      <c r="D176" s="128">
        <f t="shared" si="126"/>
        <v>156208.525</v>
      </c>
      <c r="E176" s="123">
        <v>1647.0</v>
      </c>
      <c r="F176" s="126">
        <f t="shared" si="3"/>
        <v>263.0136986</v>
      </c>
      <c r="G176" s="123">
        <v>1480.0</v>
      </c>
      <c r="H176" s="129">
        <f t="shared" si="4"/>
        <v>430.0136986</v>
      </c>
      <c r="I176" s="129">
        <f t="shared" si="108"/>
        <v>390424.784</v>
      </c>
    </row>
    <row r="177">
      <c r="A177" s="127">
        <v>48761.0</v>
      </c>
      <c r="B177" s="118"/>
      <c r="C177" s="118"/>
      <c r="D177" s="128">
        <f t="shared" si="126"/>
        <v>155082.2201</v>
      </c>
      <c r="E177" s="123">
        <v>1647.0</v>
      </c>
      <c r="F177" s="126">
        <f t="shared" si="3"/>
        <v>263.0136986</v>
      </c>
      <c r="G177" s="123">
        <v>1480.0</v>
      </c>
      <c r="H177" s="129">
        <f t="shared" si="4"/>
        <v>430.0136986</v>
      </c>
      <c r="I177" s="129">
        <f t="shared" si="108"/>
        <v>389794.2136</v>
      </c>
    </row>
    <row r="178">
      <c r="A178" s="127">
        <v>48792.0</v>
      </c>
      <c r="B178" s="118"/>
      <c r="C178" s="118"/>
      <c r="D178" s="128">
        <f t="shared" si="126"/>
        <v>153952.1609</v>
      </c>
      <c r="E178" s="123">
        <v>1647.0</v>
      </c>
      <c r="F178" s="126">
        <f t="shared" si="3"/>
        <v>263.0136986</v>
      </c>
      <c r="G178" s="123">
        <v>1480.0</v>
      </c>
      <c r="H178" s="129">
        <f t="shared" si="4"/>
        <v>430.0136986</v>
      </c>
      <c r="I178" s="129">
        <f t="shared" si="108"/>
        <v>389161.5413</v>
      </c>
    </row>
    <row r="179">
      <c r="A179" s="127">
        <v>48823.0</v>
      </c>
      <c r="B179" s="118"/>
      <c r="C179" s="118"/>
      <c r="D179" s="128">
        <f t="shared" si="126"/>
        <v>152818.3347</v>
      </c>
      <c r="E179" s="123">
        <v>1647.0</v>
      </c>
      <c r="F179" s="126">
        <f t="shared" si="3"/>
        <v>263.0136986</v>
      </c>
      <c r="G179" s="123">
        <v>1480.0</v>
      </c>
      <c r="H179" s="129">
        <f t="shared" si="4"/>
        <v>430.0136986</v>
      </c>
      <c r="I179" s="129">
        <f t="shared" si="108"/>
        <v>388526.7602</v>
      </c>
    </row>
    <row r="180">
      <c r="A180" s="127">
        <v>48853.0</v>
      </c>
      <c r="B180" s="118"/>
      <c r="C180" s="118"/>
      <c r="D180" s="128">
        <f t="shared" si="126"/>
        <v>151680.7292</v>
      </c>
      <c r="E180" s="123">
        <v>1647.0</v>
      </c>
      <c r="F180" s="126">
        <f t="shared" si="3"/>
        <v>263.0136986</v>
      </c>
      <c r="G180" s="123">
        <v>1480.0</v>
      </c>
      <c r="H180" s="129">
        <f t="shared" si="4"/>
        <v>430.0136986</v>
      </c>
      <c r="I180" s="129">
        <f t="shared" si="108"/>
        <v>387889.8631</v>
      </c>
    </row>
    <row r="181">
      <c r="A181" s="127">
        <v>48884.0</v>
      </c>
      <c r="B181" s="118"/>
      <c r="C181" s="118"/>
      <c r="D181" s="128">
        <f t="shared" si="126"/>
        <v>150539.3316</v>
      </c>
      <c r="E181" s="123">
        <v>1647.0</v>
      </c>
      <c r="F181" s="126">
        <f t="shared" si="3"/>
        <v>263.0136986</v>
      </c>
      <c r="G181" s="123">
        <v>1480.0</v>
      </c>
      <c r="H181" s="129">
        <f t="shared" si="4"/>
        <v>430.0136986</v>
      </c>
      <c r="I181" s="129">
        <f t="shared" si="108"/>
        <v>387250.843</v>
      </c>
    </row>
    <row r="182">
      <c r="A182" s="127">
        <v>48914.0</v>
      </c>
      <c r="B182" s="118"/>
      <c r="C182" s="118"/>
      <c r="D182" s="128">
        <f t="shared" si="126"/>
        <v>149394.1294</v>
      </c>
      <c r="E182" s="123">
        <v>1647.0</v>
      </c>
      <c r="F182" s="126">
        <f t="shared" si="3"/>
        <v>263.0136986</v>
      </c>
      <c r="G182" s="123">
        <v>1480.0</v>
      </c>
      <c r="H182" s="129">
        <f t="shared" si="4"/>
        <v>430.0136986</v>
      </c>
      <c r="I182" s="129">
        <f t="shared" si="108"/>
        <v>386609.6928</v>
      </c>
    </row>
    <row r="183">
      <c r="A183" s="127">
        <v>48945.0</v>
      </c>
      <c r="B183" s="118"/>
      <c r="C183" s="118"/>
      <c r="D183" s="128">
        <f t="shared" si="126"/>
        <v>148245.1098</v>
      </c>
      <c r="E183" s="123">
        <v>1647.0</v>
      </c>
      <c r="F183" s="126">
        <f t="shared" si="3"/>
        <v>263.0136986</v>
      </c>
      <c r="G183" s="123">
        <v>1480.0</v>
      </c>
      <c r="H183" s="129">
        <f t="shared" si="4"/>
        <v>430.0136986</v>
      </c>
      <c r="I183" s="129">
        <f t="shared" si="108"/>
        <v>385966.4055</v>
      </c>
    </row>
    <row r="184">
      <c r="A184" s="127">
        <v>48976.0</v>
      </c>
      <c r="B184" s="118"/>
      <c r="C184" s="118"/>
      <c r="D184" s="128">
        <f t="shared" si="126"/>
        <v>147092.2602</v>
      </c>
      <c r="E184" s="123">
        <v>1647.0</v>
      </c>
      <c r="F184" s="126">
        <f t="shared" si="3"/>
        <v>263.0136986</v>
      </c>
      <c r="G184" s="123">
        <v>1480.0</v>
      </c>
      <c r="H184" s="129">
        <f t="shared" si="4"/>
        <v>430.0136986</v>
      </c>
      <c r="I184" s="129">
        <f t="shared" si="108"/>
        <v>385320.9739</v>
      </c>
    </row>
    <row r="185">
      <c r="A185" s="127">
        <v>49004.0</v>
      </c>
      <c r="B185" s="118"/>
      <c r="C185" s="118"/>
      <c r="D185" s="128">
        <f t="shared" si="126"/>
        <v>145935.5677</v>
      </c>
      <c r="E185" s="123">
        <v>1647.0</v>
      </c>
      <c r="F185" s="126">
        <f t="shared" si="3"/>
        <v>263.0136986</v>
      </c>
      <c r="G185" s="123">
        <v>1480.0</v>
      </c>
      <c r="H185" s="129">
        <f t="shared" si="4"/>
        <v>430.0136986</v>
      </c>
      <c r="I185" s="129">
        <f t="shared" si="108"/>
        <v>384673.3908</v>
      </c>
    </row>
    <row r="186">
      <c r="A186" s="127">
        <v>49035.0</v>
      </c>
      <c r="B186" s="118"/>
      <c r="C186" s="118"/>
      <c r="D186" s="128">
        <f t="shared" si="126"/>
        <v>144775.0196</v>
      </c>
      <c r="E186" s="123">
        <v>1647.0</v>
      </c>
      <c r="F186" s="126">
        <f t="shared" si="3"/>
        <v>263.0136986</v>
      </c>
      <c r="G186" s="123">
        <v>1480.0</v>
      </c>
      <c r="H186" s="129">
        <f t="shared" si="4"/>
        <v>430.0136986</v>
      </c>
      <c r="I186" s="129">
        <f t="shared" si="108"/>
        <v>384023.6492</v>
      </c>
    </row>
    <row r="187">
      <c r="A187" s="127">
        <v>49065.0</v>
      </c>
      <c r="B187" s="118"/>
      <c r="C187" s="118"/>
      <c r="D187" s="128">
        <f t="shared" si="126"/>
        <v>143610.603</v>
      </c>
      <c r="E187" s="123">
        <v>1647.0</v>
      </c>
      <c r="F187" s="126">
        <f t="shared" si="3"/>
        <v>263.0136986</v>
      </c>
      <c r="G187" s="123">
        <v>1480.0</v>
      </c>
      <c r="H187" s="129">
        <f t="shared" si="4"/>
        <v>430.0136986</v>
      </c>
      <c r="I187" s="129">
        <f t="shared" si="108"/>
        <v>383371.7417</v>
      </c>
    </row>
    <row r="188">
      <c r="A188" s="127">
        <v>49096.0</v>
      </c>
      <c r="B188" s="118"/>
      <c r="C188" s="118"/>
      <c r="D188" s="128">
        <f t="shared" si="126"/>
        <v>142442.305</v>
      </c>
      <c r="E188" s="123">
        <v>1647.0</v>
      </c>
      <c r="F188" s="126">
        <f t="shared" si="3"/>
        <v>263.0136986</v>
      </c>
      <c r="G188" s="123">
        <v>1480.0</v>
      </c>
      <c r="H188" s="129">
        <f t="shared" si="4"/>
        <v>430.0136986</v>
      </c>
      <c r="I188" s="129">
        <f t="shared" si="108"/>
        <v>382717.6612</v>
      </c>
    </row>
    <row r="189">
      <c r="A189" s="127">
        <v>49126.0</v>
      </c>
      <c r="B189" s="118"/>
      <c r="C189" s="118"/>
      <c r="D189" s="128">
        <f t="shared" si="126"/>
        <v>141270.1127</v>
      </c>
      <c r="E189" s="123">
        <v>1647.0</v>
      </c>
      <c r="F189" s="126">
        <f t="shared" si="3"/>
        <v>263.0136986</v>
      </c>
      <c r="G189" s="123">
        <v>1480.0</v>
      </c>
      <c r="H189" s="129">
        <f t="shared" si="4"/>
        <v>430.0136986</v>
      </c>
      <c r="I189" s="129">
        <f t="shared" si="108"/>
        <v>382061.4004</v>
      </c>
    </row>
    <row r="190">
      <c r="A190" s="127">
        <v>49157.0</v>
      </c>
      <c r="B190" s="118"/>
      <c r="C190" s="118"/>
      <c r="D190" s="128">
        <f t="shared" si="126"/>
        <v>140094.0131</v>
      </c>
      <c r="E190" s="123">
        <v>1647.0</v>
      </c>
      <c r="F190" s="126">
        <f t="shared" si="3"/>
        <v>263.0136986</v>
      </c>
      <c r="G190" s="123">
        <v>1480.0</v>
      </c>
      <c r="H190" s="129">
        <f t="shared" si="4"/>
        <v>430.0136986</v>
      </c>
      <c r="I190" s="129">
        <f t="shared" si="108"/>
        <v>381402.9521</v>
      </c>
    </row>
    <row r="191">
      <c r="A191" s="127">
        <v>49188.0</v>
      </c>
      <c r="B191" s="118"/>
      <c r="C191" s="118"/>
      <c r="D191" s="128">
        <f t="shared" si="126"/>
        <v>138913.9931</v>
      </c>
      <c r="E191" s="123">
        <v>1647.0</v>
      </c>
      <c r="F191" s="126">
        <f t="shared" si="3"/>
        <v>263.0136986</v>
      </c>
      <c r="G191" s="123">
        <v>1480.0</v>
      </c>
      <c r="H191" s="129">
        <f t="shared" si="4"/>
        <v>430.0136986</v>
      </c>
      <c r="I191" s="129">
        <f t="shared" si="108"/>
        <v>380742.309</v>
      </c>
    </row>
    <row r="192">
      <c r="A192" s="127">
        <v>49218.0</v>
      </c>
      <c r="B192" s="118"/>
      <c r="C192" s="118"/>
      <c r="D192" s="128">
        <f t="shared" si="126"/>
        <v>137730.0398</v>
      </c>
      <c r="E192" s="123">
        <v>1647.0</v>
      </c>
      <c r="F192" s="126">
        <f t="shared" si="3"/>
        <v>263.0136986</v>
      </c>
      <c r="G192" s="123">
        <v>1480.0</v>
      </c>
      <c r="H192" s="129">
        <f t="shared" si="4"/>
        <v>430.0136986</v>
      </c>
      <c r="I192" s="129">
        <f t="shared" si="108"/>
        <v>380079.4637</v>
      </c>
    </row>
    <row r="193">
      <c r="A193" s="127">
        <v>49249.0</v>
      </c>
      <c r="B193" s="118"/>
      <c r="C193" s="118"/>
      <c r="D193" s="128">
        <f t="shared" si="126"/>
        <v>136542.1399</v>
      </c>
      <c r="E193" s="123">
        <v>1647.0</v>
      </c>
      <c r="F193" s="126">
        <f t="shared" si="3"/>
        <v>263.0136986</v>
      </c>
      <c r="G193" s="123">
        <v>1480.0</v>
      </c>
      <c r="H193" s="129">
        <f t="shared" si="4"/>
        <v>430.0136986</v>
      </c>
      <c r="I193" s="129">
        <f t="shared" si="108"/>
        <v>379414.409</v>
      </c>
    </row>
    <row r="194">
      <c r="A194" s="127">
        <v>49279.0</v>
      </c>
      <c r="B194" s="118"/>
      <c r="C194" s="118"/>
      <c r="D194" s="128">
        <f t="shared" si="126"/>
        <v>135350.2804</v>
      </c>
      <c r="E194" s="123">
        <v>1647.0</v>
      </c>
      <c r="F194" s="126">
        <f t="shared" si="3"/>
        <v>263.0136986</v>
      </c>
      <c r="G194" s="123">
        <v>1480.0</v>
      </c>
      <c r="H194" s="129">
        <f t="shared" si="4"/>
        <v>430.0136986</v>
      </c>
      <c r="I194" s="129">
        <f t="shared" si="108"/>
        <v>378747.1374</v>
      </c>
    </row>
    <row r="195">
      <c r="A195" s="127">
        <v>49310.0</v>
      </c>
      <c r="B195" s="118"/>
      <c r="C195" s="118"/>
      <c r="D195" s="128">
        <f t="shared" si="126"/>
        <v>134154.448</v>
      </c>
      <c r="E195" s="123">
        <v>1647.0</v>
      </c>
      <c r="F195" s="126">
        <f t="shared" si="3"/>
        <v>263.0136986</v>
      </c>
      <c r="G195" s="123">
        <v>1480.0</v>
      </c>
      <c r="H195" s="129">
        <f t="shared" si="4"/>
        <v>430.0136986</v>
      </c>
      <c r="I195" s="129">
        <f t="shared" si="108"/>
        <v>378077.6415</v>
      </c>
    </row>
    <row r="196">
      <c r="A196" s="127">
        <v>49341.0</v>
      </c>
      <c r="B196" s="118"/>
      <c r="C196" s="118"/>
      <c r="D196" s="128">
        <f t="shared" si="126"/>
        <v>132954.6294</v>
      </c>
      <c r="E196" s="123">
        <v>1647.0</v>
      </c>
      <c r="F196" s="126">
        <f t="shared" si="3"/>
        <v>263.0136986</v>
      </c>
      <c r="G196" s="123">
        <v>1480.0</v>
      </c>
      <c r="H196" s="129">
        <f t="shared" si="4"/>
        <v>430.0136986</v>
      </c>
      <c r="I196" s="129">
        <f t="shared" si="108"/>
        <v>377405.914</v>
      </c>
    </row>
    <row r="197">
      <c r="A197" s="127">
        <v>49369.0</v>
      </c>
      <c r="B197" s="118"/>
      <c r="C197" s="118"/>
      <c r="D197" s="128">
        <f t="shared" si="126"/>
        <v>131750.8115</v>
      </c>
      <c r="E197" s="123">
        <v>1647.0</v>
      </c>
      <c r="F197" s="126">
        <f t="shared" si="3"/>
        <v>263.0136986</v>
      </c>
      <c r="G197" s="123">
        <v>1480.0</v>
      </c>
      <c r="H197" s="129">
        <f t="shared" si="4"/>
        <v>430.0136986</v>
      </c>
      <c r="I197" s="129">
        <f t="shared" si="108"/>
        <v>376731.9475</v>
      </c>
    </row>
    <row r="198">
      <c r="A198" s="127">
        <v>49400.0</v>
      </c>
      <c r="B198" s="118"/>
      <c r="C198" s="118"/>
      <c r="D198" s="128">
        <f t="shared" si="126"/>
        <v>130542.9809</v>
      </c>
      <c r="E198" s="123">
        <v>1647.0</v>
      </c>
      <c r="F198" s="126">
        <f t="shared" si="3"/>
        <v>263.0136986</v>
      </c>
      <c r="G198" s="123">
        <v>1480.0</v>
      </c>
      <c r="H198" s="129">
        <f t="shared" si="4"/>
        <v>430.0136986</v>
      </c>
      <c r="I198" s="129">
        <f t="shared" si="108"/>
        <v>376055.7343</v>
      </c>
    </row>
    <row r="199">
      <c r="A199" s="127">
        <v>49430.0</v>
      </c>
      <c r="B199" s="118"/>
      <c r="C199" s="118"/>
      <c r="D199" s="128">
        <f t="shared" si="126"/>
        <v>129331.1242</v>
      </c>
      <c r="E199" s="123">
        <v>1647.0</v>
      </c>
      <c r="F199" s="126">
        <f t="shared" si="3"/>
        <v>263.0136986</v>
      </c>
      <c r="G199" s="123">
        <v>1480.0</v>
      </c>
      <c r="H199" s="129">
        <f t="shared" si="4"/>
        <v>430.0136986</v>
      </c>
      <c r="I199" s="129">
        <f t="shared" si="108"/>
        <v>375377.2671</v>
      </c>
    </row>
    <row r="200">
      <c r="A200" s="127">
        <v>49461.0</v>
      </c>
      <c r="B200" s="118"/>
      <c r="C200" s="118"/>
      <c r="D200" s="128">
        <f t="shared" si="126"/>
        <v>128115.2279</v>
      </c>
      <c r="E200" s="123">
        <v>1647.0</v>
      </c>
      <c r="F200" s="126">
        <f t="shared" si="3"/>
        <v>263.0136986</v>
      </c>
      <c r="G200" s="123">
        <v>1480.0</v>
      </c>
      <c r="H200" s="129">
        <f t="shared" si="4"/>
        <v>430.0136986</v>
      </c>
      <c r="I200" s="129">
        <f t="shared" si="108"/>
        <v>374696.5384</v>
      </c>
    </row>
    <row r="201">
      <c r="A201" s="127">
        <v>49491.0</v>
      </c>
      <c r="B201" s="118"/>
      <c r="C201" s="118"/>
      <c r="D201" s="128">
        <f t="shared" si="126"/>
        <v>126895.2787</v>
      </c>
      <c r="E201" s="123">
        <v>1647.0</v>
      </c>
      <c r="F201" s="126">
        <f t="shared" si="3"/>
        <v>263.0136986</v>
      </c>
      <c r="G201" s="123">
        <v>1480.0</v>
      </c>
      <c r="H201" s="129">
        <f t="shared" si="4"/>
        <v>430.0136986</v>
      </c>
      <c r="I201" s="129">
        <f t="shared" si="108"/>
        <v>374013.5405</v>
      </c>
    </row>
    <row r="202">
      <c r="A202" s="127">
        <v>49522.0</v>
      </c>
      <c r="B202" s="118"/>
      <c r="C202" s="118"/>
      <c r="D202" s="128">
        <f t="shared" si="126"/>
        <v>125671.263</v>
      </c>
      <c r="E202" s="123">
        <v>1647.0</v>
      </c>
      <c r="F202" s="126">
        <f t="shared" si="3"/>
        <v>263.0136986</v>
      </c>
      <c r="G202" s="123">
        <v>1480.0</v>
      </c>
      <c r="H202" s="129">
        <f t="shared" si="4"/>
        <v>430.0136986</v>
      </c>
      <c r="I202" s="129">
        <f t="shared" si="108"/>
        <v>373328.266</v>
      </c>
    </row>
    <row r="203">
      <c r="A203" s="127">
        <v>49553.0</v>
      </c>
      <c r="B203" s="118"/>
      <c r="C203" s="118"/>
      <c r="D203" s="128">
        <f t="shared" si="126"/>
        <v>124443.1672</v>
      </c>
      <c r="E203" s="123">
        <v>1647.0</v>
      </c>
      <c r="F203" s="126">
        <f t="shared" si="3"/>
        <v>263.0136986</v>
      </c>
      <c r="G203" s="123">
        <v>1480.0</v>
      </c>
      <c r="H203" s="129">
        <f t="shared" si="4"/>
        <v>430.0136986</v>
      </c>
      <c r="I203" s="129">
        <f t="shared" si="108"/>
        <v>372640.7073</v>
      </c>
    </row>
    <row r="204">
      <c r="A204" s="127">
        <v>49583.0</v>
      </c>
      <c r="B204" s="118"/>
      <c r="C204" s="118"/>
      <c r="D204" s="128">
        <f t="shared" si="126"/>
        <v>123210.9777</v>
      </c>
      <c r="E204" s="123">
        <v>1647.0</v>
      </c>
      <c r="F204" s="126">
        <f t="shared" si="3"/>
        <v>263.0136986</v>
      </c>
      <c r="G204" s="123">
        <v>1480.0</v>
      </c>
      <c r="H204" s="129">
        <f t="shared" si="4"/>
        <v>430.0136986</v>
      </c>
      <c r="I204" s="129">
        <f t="shared" si="108"/>
        <v>371950.8567</v>
      </c>
    </row>
    <row r="205">
      <c r="A205" s="127">
        <v>49614.0</v>
      </c>
      <c r="B205" s="118"/>
      <c r="C205" s="118"/>
      <c r="D205" s="128">
        <f t="shared" si="126"/>
        <v>121974.681</v>
      </c>
      <c r="E205" s="123">
        <v>1647.0</v>
      </c>
      <c r="F205" s="126">
        <f t="shared" si="3"/>
        <v>263.0136986</v>
      </c>
      <c r="G205" s="123">
        <v>1480.0</v>
      </c>
      <c r="H205" s="129">
        <f t="shared" si="4"/>
        <v>430.0136986</v>
      </c>
      <c r="I205" s="129">
        <f t="shared" si="108"/>
        <v>371258.7066</v>
      </c>
    </row>
    <row r="206">
      <c r="A206" s="127">
        <v>49644.0</v>
      </c>
      <c r="B206" s="118"/>
      <c r="C206" s="118"/>
      <c r="D206" s="128">
        <f t="shared" si="126"/>
        <v>120734.2633</v>
      </c>
      <c r="E206" s="123">
        <v>1647.0</v>
      </c>
      <c r="F206" s="126">
        <f t="shared" si="3"/>
        <v>263.0136986</v>
      </c>
      <c r="G206" s="123">
        <v>1480.0</v>
      </c>
      <c r="H206" s="129">
        <f t="shared" si="4"/>
        <v>430.0136986</v>
      </c>
      <c r="I206" s="129">
        <f t="shared" si="108"/>
        <v>370564.2493</v>
      </c>
    </row>
    <row r="207">
      <c r="A207" s="127">
        <v>49675.0</v>
      </c>
      <c r="B207" s="118"/>
      <c r="C207" s="118"/>
      <c r="D207" s="128">
        <f t="shared" si="126"/>
        <v>119489.7108</v>
      </c>
      <c r="E207" s="123">
        <v>1647.0</v>
      </c>
      <c r="F207" s="126">
        <f t="shared" si="3"/>
        <v>263.0136986</v>
      </c>
      <c r="G207" s="123">
        <v>1480.0</v>
      </c>
      <c r="H207" s="129">
        <f t="shared" si="4"/>
        <v>430.0136986</v>
      </c>
      <c r="I207" s="129">
        <f t="shared" si="108"/>
        <v>369867.4772</v>
      </c>
    </row>
    <row r="208">
      <c r="A208" s="127">
        <v>49706.0</v>
      </c>
      <c r="B208" s="118"/>
      <c r="C208" s="118"/>
      <c r="D208" s="128">
        <f t="shared" si="126"/>
        <v>118241.0098</v>
      </c>
      <c r="E208" s="123">
        <v>1647.0</v>
      </c>
      <c r="F208" s="126">
        <f t="shared" si="3"/>
        <v>263.0136986</v>
      </c>
      <c r="G208" s="123">
        <v>1480.0</v>
      </c>
      <c r="H208" s="129">
        <f t="shared" si="4"/>
        <v>430.0136986</v>
      </c>
      <c r="I208" s="129">
        <f t="shared" si="108"/>
        <v>369168.3824</v>
      </c>
    </row>
    <row r="209">
      <c r="A209" s="127">
        <v>49735.0</v>
      </c>
      <c r="B209" s="118"/>
      <c r="C209" s="118"/>
      <c r="D209" s="128">
        <f t="shared" si="126"/>
        <v>116988.1465</v>
      </c>
      <c r="E209" s="123">
        <v>1647.0</v>
      </c>
      <c r="F209" s="126">
        <f t="shared" si="3"/>
        <v>263.0136986</v>
      </c>
      <c r="G209" s="123">
        <v>1480.0</v>
      </c>
      <c r="H209" s="129">
        <f t="shared" si="4"/>
        <v>430.0136986</v>
      </c>
      <c r="I209" s="129">
        <f t="shared" si="108"/>
        <v>368466.9574</v>
      </c>
    </row>
    <row r="210">
      <c r="A210" s="127">
        <v>49766.0</v>
      </c>
      <c r="B210" s="118"/>
      <c r="C210" s="118"/>
      <c r="D210" s="128">
        <f t="shared" si="126"/>
        <v>115731.107</v>
      </c>
      <c r="E210" s="123">
        <v>1647.0</v>
      </c>
      <c r="F210" s="126">
        <f t="shared" si="3"/>
        <v>263.0136986</v>
      </c>
      <c r="G210" s="123">
        <v>1480.0</v>
      </c>
      <c r="H210" s="129">
        <f t="shared" si="4"/>
        <v>430.0136986</v>
      </c>
      <c r="I210" s="129">
        <f t="shared" si="108"/>
        <v>367763.1943</v>
      </c>
    </row>
    <row r="211">
      <c r="A211" s="127">
        <v>49796.0</v>
      </c>
      <c r="B211" s="118"/>
      <c r="C211" s="118"/>
      <c r="D211" s="128">
        <f t="shared" si="126"/>
        <v>114469.8774</v>
      </c>
      <c r="E211" s="123">
        <v>1647.0</v>
      </c>
      <c r="F211" s="126">
        <f t="shared" si="3"/>
        <v>263.0136986</v>
      </c>
      <c r="G211" s="123">
        <v>1480.0</v>
      </c>
      <c r="H211" s="129">
        <f t="shared" si="4"/>
        <v>430.0136986</v>
      </c>
      <c r="I211" s="129">
        <f t="shared" si="108"/>
        <v>367057.0853</v>
      </c>
    </row>
    <row r="212">
      <c r="A212" s="127">
        <v>49827.0</v>
      </c>
      <c r="B212" s="118"/>
      <c r="C212" s="118"/>
      <c r="D212" s="128">
        <f t="shared" si="126"/>
        <v>113204.4436</v>
      </c>
      <c r="E212" s="123">
        <v>1647.0</v>
      </c>
      <c r="F212" s="126">
        <f t="shared" si="3"/>
        <v>263.0136986</v>
      </c>
      <c r="G212" s="123">
        <v>1480.0</v>
      </c>
      <c r="H212" s="129">
        <f t="shared" si="4"/>
        <v>430.0136986</v>
      </c>
      <c r="I212" s="129">
        <f t="shared" si="108"/>
        <v>366348.6226</v>
      </c>
    </row>
    <row r="213">
      <c r="A213" s="127">
        <v>49857.0</v>
      </c>
      <c r="B213" s="118"/>
      <c r="C213" s="118"/>
      <c r="D213" s="128">
        <f t="shared" si="126"/>
        <v>111934.7918</v>
      </c>
      <c r="E213" s="123">
        <v>1647.0</v>
      </c>
      <c r="F213" s="126">
        <f t="shared" si="3"/>
        <v>263.0136986</v>
      </c>
      <c r="G213" s="123">
        <v>1480.0</v>
      </c>
      <c r="H213" s="129">
        <f t="shared" si="4"/>
        <v>430.0136986</v>
      </c>
      <c r="I213" s="129">
        <f t="shared" si="108"/>
        <v>365637.7984</v>
      </c>
    </row>
    <row r="214">
      <c r="A214" s="127">
        <v>49888.0</v>
      </c>
      <c r="B214" s="118"/>
      <c r="C214" s="118"/>
      <c r="D214" s="128">
        <f t="shared" si="126"/>
        <v>110660.9078</v>
      </c>
      <c r="E214" s="123">
        <v>1647.0</v>
      </c>
      <c r="F214" s="126">
        <f t="shared" si="3"/>
        <v>263.0136986</v>
      </c>
      <c r="G214" s="123">
        <v>1480.0</v>
      </c>
      <c r="H214" s="129">
        <f t="shared" si="4"/>
        <v>430.0136986</v>
      </c>
      <c r="I214" s="129">
        <f t="shared" si="108"/>
        <v>364924.6048</v>
      </c>
    </row>
    <row r="215">
      <c r="A215" s="127">
        <v>49919.0</v>
      </c>
      <c r="B215" s="118"/>
      <c r="C215" s="118"/>
      <c r="D215" s="128">
        <f t="shared" si="126"/>
        <v>109382.7774</v>
      </c>
      <c r="E215" s="123">
        <v>1647.0</v>
      </c>
      <c r="F215" s="126">
        <f t="shared" si="3"/>
        <v>263.0136986</v>
      </c>
      <c r="G215" s="123">
        <v>1480.0</v>
      </c>
      <c r="H215" s="129">
        <f t="shared" si="4"/>
        <v>430.0136986</v>
      </c>
      <c r="I215" s="129">
        <f t="shared" si="108"/>
        <v>364209.0338</v>
      </c>
    </row>
    <row r="216">
      <c r="A216" s="127">
        <v>49949.0</v>
      </c>
      <c r="B216" s="118"/>
      <c r="C216" s="118"/>
      <c r="D216" s="128">
        <f t="shared" si="126"/>
        <v>108100.3867</v>
      </c>
      <c r="E216" s="123">
        <v>1647.0</v>
      </c>
      <c r="F216" s="126">
        <f t="shared" si="3"/>
        <v>263.0136986</v>
      </c>
      <c r="G216" s="123">
        <v>1480.0</v>
      </c>
      <c r="H216" s="129">
        <f t="shared" si="4"/>
        <v>430.0136986</v>
      </c>
      <c r="I216" s="129">
        <f t="shared" si="108"/>
        <v>363491.0776</v>
      </c>
    </row>
    <row r="217">
      <c r="A217" s="127">
        <v>49980.0</v>
      </c>
      <c r="B217" s="118"/>
      <c r="C217" s="118"/>
      <c r="D217" s="128">
        <f t="shared" si="126"/>
        <v>106813.7213</v>
      </c>
      <c r="E217" s="123">
        <v>1647.0</v>
      </c>
      <c r="F217" s="126">
        <f t="shared" si="3"/>
        <v>263.0136986</v>
      </c>
      <c r="G217" s="123">
        <v>1480.0</v>
      </c>
      <c r="H217" s="129">
        <f t="shared" si="4"/>
        <v>430.0136986</v>
      </c>
      <c r="I217" s="129">
        <f t="shared" si="108"/>
        <v>362770.7283</v>
      </c>
    </row>
    <row r="218">
      <c r="A218" s="127">
        <v>50010.0</v>
      </c>
      <c r="B218" s="118"/>
      <c r="C218" s="118"/>
      <c r="D218" s="128">
        <f t="shared" si="126"/>
        <v>105522.7671</v>
      </c>
      <c r="E218" s="123">
        <v>1647.0</v>
      </c>
      <c r="F218" s="126">
        <f t="shared" si="3"/>
        <v>263.0136986</v>
      </c>
      <c r="G218" s="123">
        <v>1480.0</v>
      </c>
      <c r="H218" s="129">
        <f t="shared" si="4"/>
        <v>430.0136986</v>
      </c>
      <c r="I218" s="129">
        <f t="shared" si="108"/>
        <v>362047.9777</v>
      </c>
    </row>
    <row r="219">
      <c r="A219" s="127">
        <v>50041.0</v>
      </c>
      <c r="B219" s="118"/>
      <c r="C219" s="118"/>
      <c r="D219" s="128">
        <f t="shared" si="126"/>
        <v>104227.5096</v>
      </c>
      <c r="E219" s="123">
        <v>1647.0</v>
      </c>
      <c r="F219" s="126">
        <f t="shared" si="3"/>
        <v>263.0136986</v>
      </c>
      <c r="G219" s="123">
        <v>1480.0</v>
      </c>
      <c r="H219" s="129">
        <f t="shared" si="4"/>
        <v>430.0136986</v>
      </c>
      <c r="I219" s="129">
        <f t="shared" si="108"/>
        <v>361322.818</v>
      </c>
    </row>
    <row r="220">
      <c r="A220" s="127">
        <v>50072.0</v>
      </c>
      <c r="B220" s="118"/>
      <c r="C220" s="118"/>
      <c r="D220" s="128">
        <f t="shared" si="126"/>
        <v>102927.9347</v>
      </c>
      <c r="E220" s="123">
        <v>1647.0</v>
      </c>
      <c r="F220" s="126">
        <f t="shared" si="3"/>
        <v>263.0136986</v>
      </c>
      <c r="G220" s="123">
        <v>1480.0</v>
      </c>
      <c r="H220" s="129">
        <f t="shared" si="4"/>
        <v>430.0136986</v>
      </c>
      <c r="I220" s="129">
        <f t="shared" si="108"/>
        <v>360595.2411</v>
      </c>
    </row>
    <row r="221">
      <c r="A221" s="127">
        <v>50100.0</v>
      </c>
      <c r="B221" s="118"/>
      <c r="C221" s="118"/>
      <c r="D221" s="128">
        <f t="shared" si="126"/>
        <v>101624.0278</v>
      </c>
      <c r="E221" s="123">
        <v>1647.0</v>
      </c>
      <c r="F221" s="126">
        <f t="shared" si="3"/>
        <v>263.0136986</v>
      </c>
      <c r="G221" s="123">
        <v>1480.0</v>
      </c>
      <c r="H221" s="129">
        <f t="shared" si="4"/>
        <v>430.0136986</v>
      </c>
      <c r="I221" s="129">
        <f t="shared" si="108"/>
        <v>359865.2389</v>
      </c>
    </row>
    <row r="222">
      <c r="A222" s="127">
        <v>50131.0</v>
      </c>
      <c r="B222" s="118"/>
      <c r="C222" s="118"/>
      <c r="D222" s="128">
        <f t="shared" si="126"/>
        <v>100315.7745</v>
      </c>
      <c r="E222" s="123">
        <v>1647.0</v>
      </c>
      <c r="F222" s="126">
        <f t="shared" si="3"/>
        <v>263.0136986</v>
      </c>
      <c r="G222" s="123">
        <v>1480.0</v>
      </c>
      <c r="H222" s="129">
        <f t="shared" si="4"/>
        <v>430.0136986</v>
      </c>
      <c r="I222" s="129">
        <f t="shared" si="108"/>
        <v>359132.8034</v>
      </c>
    </row>
    <row r="223">
      <c r="A223" s="127">
        <v>50161.0</v>
      </c>
      <c r="B223" s="118"/>
      <c r="C223" s="118"/>
      <c r="D223" s="128">
        <f t="shared" si="126"/>
        <v>99003.16044</v>
      </c>
      <c r="E223" s="123">
        <v>1647.0</v>
      </c>
      <c r="F223" s="126">
        <f t="shared" si="3"/>
        <v>263.0136986</v>
      </c>
      <c r="G223" s="123">
        <v>1480.0</v>
      </c>
      <c r="H223" s="129">
        <f t="shared" si="4"/>
        <v>430.0136986</v>
      </c>
      <c r="I223" s="129">
        <f t="shared" si="108"/>
        <v>358397.9265</v>
      </c>
    </row>
    <row r="224">
      <c r="A224" s="127">
        <v>50192.0</v>
      </c>
      <c r="B224" s="118"/>
      <c r="C224" s="118"/>
      <c r="D224" s="128">
        <f t="shared" si="126"/>
        <v>97686.17098</v>
      </c>
      <c r="E224" s="123">
        <v>1647.0</v>
      </c>
      <c r="F224" s="126">
        <f t="shared" si="3"/>
        <v>263.0136986</v>
      </c>
      <c r="G224" s="123">
        <v>1480.0</v>
      </c>
      <c r="H224" s="129">
        <f t="shared" si="4"/>
        <v>430.0136986</v>
      </c>
      <c r="I224" s="129">
        <f t="shared" si="108"/>
        <v>357660.5999</v>
      </c>
    </row>
    <row r="225">
      <c r="A225" s="127">
        <v>50222.0</v>
      </c>
      <c r="B225" s="118"/>
      <c r="C225" s="118"/>
      <c r="D225" s="128">
        <f t="shared" si="126"/>
        <v>96364.79155</v>
      </c>
      <c r="E225" s="123">
        <v>1647.0</v>
      </c>
      <c r="F225" s="126">
        <f t="shared" si="3"/>
        <v>263.0136986</v>
      </c>
      <c r="G225" s="123">
        <v>1480.0</v>
      </c>
      <c r="H225" s="129">
        <f t="shared" si="4"/>
        <v>430.0136986</v>
      </c>
      <c r="I225" s="129">
        <f t="shared" si="108"/>
        <v>356920.8156</v>
      </c>
    </row>
    <row r="226">
      <c r="A226" s="127">
        <v>50253.0</v>
      </c>
      <c r="B226" s="118"/>
      <c r="C226" s="118"/>
      <c r="D226" s="128">
        <f t="shared" si="126"/>
        <v>95039.00752</v>
      </c>
      <c r="E226" s="123">
        <v>1647.0</v>
      </c>
      <c r="F226" s="126">
        <f t="shared" si="3"/>
        <v>263.0136986</v>
      </c>
      <c r="G226" s="123">
        <v>1480.0</v>
      </c>
      <c r="H226" s="129">
        <f t="shared" si="4"/>
        <v>430.0136986</v>
      </c>
      <c r="I226" s="129">
        <f t="shared" si="108"/>
        <v>356178.5654</v>
      </c>
    </row>
    <row r="227">
      <c r="A227" s="127">
        <v>50284.0</v>
      </c>
      <c r="B227" s="118"/>
      <c r="C227" s="118"/>
      <c r="D227" s="128">
        <f t="shared" si="126"/>
        <v>93708.80421</v>
      </c>
      <c r="E227" s="123">
        <v>1647.0</v>
      </c>
      <c r="F227" s="126">
        <f t="shared" si="3"/>
        <v>263.0136986</v>
      </c>
      <c r="G227" s="123">
        <v>1480.0</v>
      </c>
      <c r="H227" s="129">
        <f t="shared" si="4"/>
        <v>430.0136986</v>
      </c>
      <c r="I227" s="129">
        <f t="shared" si="108"/>
        <v>355433.841</v>
      </c>
    </row>
    <row r="228">
      <c r="A228" s="127">
        <v>50314.0</v>
      </c>
      <c r="B228" s="118"/>
      <c r="C228" s="118"/>
      <c r="D228" s="128">
        <f t="shared" si="126"/>
        <v>92374.16689</v>
      </c>
      <c r="E228" s="123">
        <v>1647.0</v>
      </c>
      <c r="F228" s="126">
        <f t="shared" si="3"/>
        <v>263.0136986</v>
      </c>
      <c r="G228" s="123">
        <v>1480.0</v>
      </c>
      <c r="H228" s="129">
        <f t="shared" si="4"/>
        <v>430.0136986</v>
      </c>
      <c r="I228" s="129">
        <f t="shared" si="108"/>
        <v>354686.6341</v>
      </c>
    </row>
    <row r="229">
      <c r="A229" s="127">
        <v>50345.0</v>
      </c>
      <c r="B229" s="118"/>
      <c r="C229" s="118"/>
      <c r="D229" s="128">
        <f t="shared" si="126"/>
        <v>91035.08078</v>
      </c>
      <c r="E229" s="123">
        <v>1647.0</v>
      </c>
      <c r="F229" s="126">
        <f t="shared" si="3"/>
        <v>263.0136986</v>
      </c>
      <c r="G229" s="123">
        <v>1480.0</v>
      </c>
      <c r="H229" s="129">
        <f t="shared" si="4"/>
        <v>430.0136986</v>
      </c>
      <c r="I229" s="129">
        <f t="shared" si="108"/>
        <v>353936.9366</v>
      </c>
    </row>
    <row r="230">
      <c r="A230" s="127">
        <v>50375.0</v>
      </c>
      <c r="B230" s="118"/>
      <c r="C230" s="118"/>
      <c r="D230" s="128">
        <f t="shared" si="126"/>
        <v>89691.53105</v>
      </c>
      <c r="E230" s="123">
        <v>1647.0</v>
      </c>
      <c r="F230" s="126">
        <f t="shared" si="3"/>
        <v>263.0136986</v>
      </c>
      <c r="G230" s="123">
        <v>1480.0</v>
      </c>
      <c r="H230" s="129">
        <f t="shared" si="4"/>
        <v>430.0136986</v>
      </c>
      <c r="I230" s="129">
        <f t="shared" si="108"/>
        <v>353184.7401</v>
      </c>
    </row>
    <row r="231">
      <c r="A231" s="127">
        <v>50406.0</v>
      </c>
      <c r="B231" s="118"/>
      <c r="C231" s="118"/>
      <c r="D231" s="128">
        <f t="shared" si="126"/>
        <v>88343.50282</v>
      </c>
      <c r="E231" s="123">
        <v>1647.0</v>
      </c>
      <c r="F231" s="126">
        <f t="shared" si="3"/>
        <v>263.0136986</v>
      </c>
      <c r="G231" s="123">
        <v>1480.0</v>
      </c>
      <c r="H231" s="129">
        <f t="shared" si="4"/>
        <v>430.0136986</v>
      </c>
      <c r="I231" s="129">
        <f t="shared" si="108"/>
        <v>352430.0363</v>
      </c>
    </row>
    <row r="232">
      <c r="A232" s="127">
        <v>50437.0</v>
      </c>
      <c r="B232" s="118"/>
      <c r="C232" s="118"/>
      <c r="D232" s="128">
        <f t="shared" si="126"/>
        <v>86990.98116</v>
      </c>
      <c r="E232" s="123">
        <v>1647.0</v>
      </c>
      <c r="F232" s="126">
        <f t="shared" si="3"/>
        <v>263.0136986</v>
      </c>
      <c r="G232" s="123">
        <v>1480.0</v>
      </c>
      <c r="H232" s="129">
        <f t="shared" si="4"/>
        <v>430.0136986</v>
      </c>
      <c r="I232" s="129">
        <f t="shared" si="108"/>
        <v>351672.8167</v>
      </c>
    </row>
    <row r="233">
      <c r="A233" s="127">
        <v>50465.0</v>
      </c>
      <c r="B233" s="118"/>
      <c r="C233" s="118"/>
      <c r="D233" s="128">
        <f t="shared" si="126"/>
        <v>85633.9511</v>
      </c>
      <c r="E233" s="123">
        <v>1647.0</v>
      </c>
      <c r="F233" s="126">
        <f t="shared" si="3"/>
        <v>263.0136986</v>
      </c>
      <c r="G233" s="123">
        <v>1480.0</v>
      </c>
      <c r="H233" s="129">
        <f t="shared" si="4"/>
        <v>430.0136986</v>
      </c>
      <c r="I233" s="129">
        <f t="shared" si="108"/>
        <v>350913.0732</v>
      </c>
    </row>
    <row r="234">
      <c r="A234" s="127">
        <v>50496.0</v>
      </c>
      <c r="B234" s="118"/>
      <c r="C234" s="118"/>
      <c r="D234" s="128">
        <f t="shared" si="126"/>
        <v>84272.3976</v>
      </c>
      <c r="E234" s="123">
        <v>1647.0</v>
      </c>
      <c r="F234" s="126">
        <f t="shared" si="3"/>
        <v>263.0136986</v>
      </c>
      <c r="G234" s="123">
        <v>1480.0</v>
      </c>
      <c r="H234" s="129">
        <f t="shared" si="4"/>
        <v>430.0136986</v>
      </c>
      <c r="I234" s="129">
        <f t="shared" si="108"/>
        <v>350150.7971</v>
      </c>
    </row>
    <row r="235">
      <c r="A235" s="127">
        <v>50526.0</v>
      </c>
      <c r="B235" s="118"/>
      <c r="C235" s="118"/>
      <c r="D235" s="128">
        <f t="shared" si="126"/>
        <v>82906.30559</v>
      </c>
      <c r="E235" s="123">
        <v>1647.0</v>
      </c>
      <c r="F235" s="126">
        <f t="shared" si="3"/>
        <v>263.0136986</v>
      </c>
      <c r="G235" s="123">
        <v>1480.0</v>
      </c>
      <c r="H235" s="129">
        <f t="shared" si="4"/>
        <v>430.0136986</v>
      </c>
      <c r="I235" s="129">
        <f t="shared" si="108"/>
        <v>349385.9801</v>
      </c>
    </row>
    <row r="236">
      <c r="A236" s="127">
        <v>50557.0</v>
      </c>
      <c r="D236" s="128">
        <f t="shared" si="126"/>
        <v>81535.65995</v>
      </c>
      <c r="E236" s="123">
        <v>1647.0</v>
      </c>
      <c r="F236" s="126">
        <f t="shared" si="3"/>
        <v>263.0136986</v>
      </c>
      <c r="G236" s="123">
        <v>1480.0</v>
      </c>
      <c r="H236" s="129">
        <f t="shared" si="4"/>
        <v>430.0136986</v>
      </c>
      <c r="I236" s="129">
        <f t="shared" si="108"/>
        <v>348618.6138</v>
      </c>
    </row>
    <row r="237">
      <c r="A237" s="127">
        <v>50587.0</v>
      </c>
      <c r="D237" s="128">
        <f t="shared" si="126"/>
        <v>80160.44548</v>
      </c>
      <c r="E237" s="123">
        <v>1647.0</v>
      </c>
      <c r="F237" s="126">
        <f t="shared" si="3"/>
        <v>263.0136986</v>
      </c>
      <c r="G237" s="123">
        <v>1480.0</v>
      </c>
      <c r="H237" s="129">
        <f t="shared" si="4"/>
        <v>430.0136986</v>
      </c>
      <c r="I237" s="129">
        <f t="shared" si="108"/>
        <v>347848.6895</v>
      </c>
    </row>
    <row r="238">
      <c r="A238" s="127">
        <v>50618.0</v>
      </c>
      <c r="D238" s="128">
        <f t="shared" si="126"/>
        <v>78780.64696</v>
      </c>
      <c r="E238" s="123">
        <v>1647.0</v>
      </c>
      <c r="F238" s="126">
        <f t="shared" si="3"/>
        <v>263.0136986</v>
      </c>
      <c r="G238" s="123">
        <v>1480.0</v>
      </c>
      <c r="H238" s="129">
        <f t="shared" si="4"/>
        <v>430.0136986</v>
      </c>
      <c r="I238" s="129">
        <f t="shared" si="108"/>
        <v>347076.1988</v>
      </c>
    </row>
    <row r="239">
      <c r="A239" s="127">
        <v>50649.0</v>
      </c>
      <c r="D239" s="128">
        <f t="shared" si="126"/>
        <v>77396.24912</v>
      </c>
      <c r="E239" s="123">
        <v>1647.0</v>
      </c>
      <c r="F239" s="126">
        <f t="shared" si="3"/>
        <v>263.0136986</v>
      </c>
      <c r="G239" s="123">
        <v>1480.0</v>
      </c>
      <c r="H239" s="129">
        <f t="shared" si="4"/>
        <v>430.0136986</v>
      </c>
      <c r="I239" s="129">
        <f t="shared" si="108"/>
        <v>346301.1332</v>
      </c>
    </row>
    <row r="240">
      <c r="A240" s="127">
        <v>50679.0</v>
      </c>
      <c r="D240" s="128">
        <f t="shared" si="126"/>
        <v>76007.23662</v>
      </c>
      <c r="E240" s="123">
        <v>1647.0</v>
      </c>
      <c r="F240" s="126">
        <f t="shared" si="3"/>
        <v>263.0136986</v>
      </c>
      <c r="G240" s="123">
        <v>1480.0</v>
      </c>
      <c r="H240" s="129">
        <f t="shared" si="4"/>
        <v>430.0136986</v>
      </c>
      <c r="I240" s="129">
        <f t="shared" si="108"/>
        <v>345523.484</v>
      </c>
    </row>
    <row r="241">
      <c r="A241" s="127">
        <v>50710.0</v>
      </c>
      <c r="D241" s="128">
        <f t="shared" si="126"/>
        <v>74613.59407</v>
      </c>
      <c r="E241" s="123">
        <v>1647.0</v>
      </c>
      <c r="F241" s="126">
        <f t="shared" si="3"/>
        <v>263.0136986</v>
      </c>
      <c r="G241" s="123">
        <v>1480.0</v>
      </c>
      <c r="H241" s="129">
        <f t="shared" si="4"/>
        <v>430.0136986</v>
      </c>
      <c r="I241" s="129">
        <f t="shared" si="108"/>
        <v>344743.2426</v>
      </c>
    </row>
    <row r="242">
      <c r="A242" s="127">
        <v>50740.0</v>
      </c>
      <c r="D242" s="128">
        <f t="shared" si="126"/>
        <v>73215.30605</v>
      </c>
      <c r="E242" s="123">
        <v>1647.0</v>
      </c>
      <c r="F242" s="126">
        <f t="shared" si="3"/>
        <v>263.0136986</v>
      </c>
      <c r="G242" s="123">
        <v>1480.0</v>
      </c>
      <c r="H242" s="129">
        <f t="shared" si="4"/>
        <v>430.0136986</v>
      </c>
      <c r="I242" s="129">
        <f t="shared" si="108"/>
        <v>343960.4005</v>
      </c>
    </row>
    <row r="243">
      <c r="A243" s="127">
        <v>50771.0</v>
      </c>
      <c r="D243" s="128">
        <f t="shared" si="126"/>
        <v>71812.35707</v>
      </c>
      <c r="E243" s="123">
        <v>1647.0</v>
      </c>
      <c r="F243" s="126">
        <f t="shared" si="3"/>
        <v>263.0136986</v>
      </c>
      <c r="G243" s="123">
        <v>1480.0</v>
      </c>
      <c r="H243" s="129">
        <f t="shared" si="4"/>
        <v>430.0136986</v>
      </c>
      <c r="I243" s="129">
        <f t="shared" si="108"/>
        <v>343174.9489</v>
      </c>
    </row>
    <row r="244">
      <c r="A244" s="127">
        <v>50802.0</v>
      </c>
      <c r="D244" s="128">
        <f t="shared" si="126"/>
        <v>70404.7316</v>
      </c>
      <c r="E244" s="123">
        <v>1647.0</v>
      </c>
      <c r="F244" s="126">
        <f t="shared" si="3"/>
        <v>263.0136986</v>
      </c>
      <c r="G244" s="123">
        <v>1480.0</v>
      </c>
      <c r="H244" s="129">
        <f t="shared" si="4"/>
        <v>430.0136986</v>
      </c>
      <c r="I244" s="129">
        <f t="shared" si="108"/>
        <v>342386.8791</v>
      </c>
    </row>
    <row r="245">
      <c r="A245" s="127">
        <v>50830.0</v>
      </c>
      <c r="D245" s="128">
        <f t="shared" si="126"/>
        <v>68992.41404</v>
      </c>
      <c r="E245" s="123">
        <v>1647.0</v>
      </c>
      <c r="F245" s="126">
        <f t="shared" si="3"/>
        <v>263.0136986</v>
      </c>
      <c r="G245" s="123">
        <v>1480.0</v>
      </c>
      <c r="H245" s="129">
        <f t="shared" si="4"/>
        <v>430.0136986</v>
      </c>
      <c r="I245" s="129">
        <f t="shared" si="108"/>
        <v>341596.1823</v>
      </c>
    </row>
    <row r="246">
      <c r="A246" s="127">
        <v>50861.0</v>
      </c>
      <c r="D246" s="128">
        <f t="shared" si="126"/>
        <v>67575.38875</v>
      </c>
      <c r="E246" s="123">
        <v>1647.0</v>
      </c>
      <c r="F246" s="126">
        <f t="shared" si="3"/>
        <v>263.0136986</v>
      </c>
      <c r="G246" s="123">
        <v>1480.0</v>
      </c>
      <c r="H246" s="129">
        <f t="shared" si="4"/>
        <v>430.0136986</v>
      </c>
      <c r="I246" s="129">
        <f t="shared" si="108"/>
        <v>340802.85</v>
      </c>
    </row>
    <row r="247">
      <c r="A247" s="127">
        <v>50891.0</v>
      </c>
      <c r="D247" s="128">
        <f t="shared" si="126"/>
        <v>66153.64005</v>
      </c>
      <c r="E247" s="123">
        <v>1647.0</v>
      </c>
      <c r="F247" s="126">
        <f t="shared" si="3"/>
        <v>263.0136986</v>
      </c>
      <c r="G247" s="123">
        <v>1480.0</v>
      </c>
      <c r="H247" s="129">
        <f t="shared" si="4"/>
        <v>430.0136986</v>
      </c>
      <c r="I247" s="129">
        <f t="shared" si="108"/>
        <v>340006.8732</v>
      </c>
    </row>
    <row r="248">
      <c r="A248" s="127">
        <v>50922.0</v>
      </c>
      <c r="D248" s="128">
        <f t="shared" si="126"/>
        <v>64727.15218</v>
      </c>
      <c r="E248" s="123">
        <v>1647.0</v>
      </c>
      <c r="F248" s="126">
        <f t="shared" si="3"/>
        <v>263.0136986</v>
      </c>
      <c r="G248" s="123">
        <v>1480.0</v>
      </c>
      <c r="H248" s="129">
        <f t="shared" si="4"/>
        <v>430.0136986</v>
      </c>
      <c r="I248" s="129">
        <f t="shared" si="108"/>
        <v>339208.2431</v>
      </c>
    </row>
    <row r="249">
      <c r="A249" s="127">
        <v>50952.0</v>
      </c>
      <c r="D249" s="128">
        <f t="shared" si="126"/>
        <v>63295.90935</v>
      </c>
      <c r="E249" s="123">
        <v>1647.0</v>
      </c>
      <c r="F249" s="126">
        <f t="shared" si="3"/>
        <v>263.0136986</v>
      </c>
      <c r="G249" s="123">
        <v>1480.0</v>
      </c>
      <c r="H249" s="129">
        <f t="shared" si="4"/>
        <v>430.0136986</v>
      </c>
      <c r="I249" s="129">
        <f t="shared" si="108"/>
        <v>338406.951</v>
      </c>
    </row>
    <row r="250">
      <c r="A250" s="127">
        <v>50983.0</v>
      </c>
      <c r="D250" s="128">
        <f t="shared" si="126"/>
        <v>61859.89572</v>
      </c>
      <c r="E250" s="123">
        <v>1647.0</v>
      </c>
      <c r="F250" s="126">
        <f t="shared" si="3"/>
        <v>263.0136986</v>
      </c>
      <c r="G250" s="123">
        <v>1480.0</v>
      </c>
      <c r="H250" s="129">
        <f t="shared" si="4"/>
        <v>430.0136986</v>
      </c>
      <c r="I250" s="129">
        <f t="shared" si="108"/>
        <v>337602.9878</v>
      </c>
    </row>
    <row r="251">
      <c r="A251" s="127">
        <v>51014.0</v>
      </c>
      <c r="D251" s="128">
        <f t="shared" si="126"/>
        <v>60419.09537</v>
      </c>
      <c r="E251" s="123">
        <v>1647.0</v>
      </c>
      <c r="F251" s="126">
        <f t="shared" si="3"/>
        <v>263.0136986</v>
      </c>
      <c r="G251" s="123">
        <v>1480.0</v>
      </c>
      <c r="H251" s="129">
        <f t="shared" si="4"/>
        <v>430.0136986</v>
      </c>
      <c r="I251" s="129">
        <f t="shared" si="108"/>
        <v>336796.3448</v>
      </c>
    </row>
    <row r="252">
      <c r="A252" s="127">
        <v>51044.0</v>
      </c>
      <c r="D252" s="128">
        <f t="shared" si="126"/>
        <v>58973.49235</v>
      </c>
      <c r="E252" s="123">
        <v>1647.0</v>
      </c>
      <c r="F252" s="126">
        <f t="shared" si="3"/>
        <v>263.0136986</v>
      </c>
      <c r="G252" s="123">
        <v>1480.0</v>
      </c>
      <c r="H252" s="129">
        <f t="shared" si="4"/>
        <v>430.0136986</v>
      </c>
      <c r="I252" s="129">
        <f t="shared" si="108"/>
        <v>335987.013</v>
      </c>
    </row>
    <row r="253">
      <c r="A253" s="127">
        <v>51075.0</v>
      </c>
      <c r="D253" s="128">
        <f t="shared" si="126"/>
        <v>57523.07066</v>
      </c>
      <c r="E253" s="123">
        <v>1647.0</v>
      </c>
      <c r="F253" s="126">
        <f t="shared" si="3"/>
        <v>263.0136986</v>
      </c>
      <c r="G253" s="123">
        <v>1480.0</v>
      </c>
      <c r="H253" s="129">
        <f t="shared" si="4"/>
        <v>430.0136986</v>
      </c>
      <c r="I253" s="129">
        <f t="shared" si="108"/>
        <v>335174.9834</v>
      </c>
    </row>
    <row r="254">
      <c r="A254" s="127">
        <v>51105.0</v>
      </c>
      <c r="D254" s="128">
        <f t="shared" si="126"/>
        <v>56067.81423</v>
      </c>
      <c r="E254" s="123">
        <v>1647.0</v>
      </c>
      <c r="F254" s="126">
        <f t="shared" si="3"/>
        <v>263.0136986</v>
      </c>
      <c r="G254" s="123">
        <v>1480.0</v>
      </c>
      <c r="H254" s="129">
        <f t="shared" si="4"/>
        <v>430.0136986</v>
      </c>
      <c r="I254" s="129">
        <f t="shared" si="108"/>
        <v>334360.2471</v>
      </c>
    </row>
    <row r="255">
      <c r="A255" s="127">
        <v>51136.0</v>
      </c>
      <c r="D255" s="128">
        <f t="shared" si="126"/>
        <v>54607.70695</v>
      </c>
      <c r="E255" s="123">
        <v>1647.0</v>
      </c>
      <c r="F255" s="126">
        <f t="shared" si="3"/>
        <v>263.0136986</v>
      </c>
      <c r="G255" s="123">
        <v>1480.0</v>
      </c>
      <c r="H255" s="129">
        <f t="shared" si="4"/>
        <v>430.0136986</v>
      </c>
      <c r="I255" s="129">
        <f t="shared" si="108"/>
        <v>333542.7949</v>
      </c>
    </row>
    <row r="256">
      <c r="A256" s="127">
        <v>51167.0</v>
      </c>
      <c r="D256" s="128">
        <f t="shared" si="126"/>
        <v>53142.73263</v>
      </c>
      <c r="E256" s="123">
        <v>1647.0</v>
      </c>
      <c r="F256" s="126">
        <f t="shared" si="3"/>
        <v>263.0136986</v>
      </c>
      <c r="G256" s="123">
        <v>1480.0</v>
      </c>
      <c r="H256" s="129">
        <f t="shared" si="4"/>
        <v>430.0136986</v>
      </c>
      <c r="I256" s="129">
        <f t="shared" si="108"/>
        <v>332722.6179</v>
      </c>
    </row>
    <row r="257">
      <c r="A257" s="127">
        <v>51196.0</v>
      </c>
      <c r="D257" s="128">
        <f t="shared" si="126"/>
        <v>51672.87508</v>
      </c>
      <c r="E257" s="123">
        <v>1647.0</v>
      </c>
      <c r="F257" s="126">
        <f t="shared" si="3"/>
        <v>263.0136986</v>
      </c>
      <c r="G257" s="123">
        <v>1480.0</v>
      </c>
      <c r="H257" s="129">
        <f t="shared" si="4"/>
        <v>430.0136986</v>
      </c>
      <c r="I257" s="129">
        <f t="shared" si="108"/>
        <v>331899.707</v>
      </c>
    </row>
    <row r="258">
      <c r="A258" s="127">
        <v>51227.0</v>
      </c>
      <c r="D258" s="128">
        <f t="shared" si="126"/>
        <v>50198.11799</v>
      </c>
      <c r="E258" s="123">
        <v>1647.0</v>
      </c>
      <c r="F258" s="126">
        <f t="shared" si="3"/>
        <v>263.0136986</v>
      </c>
      <c r="G258" s="123">
        <v>1480.0</v>
      </c>
      <c r="H258" s="129">
        <f t="shared" si="4"/>
        <v>430.0136986</v>
      </c>
      <c r="I258" s="129">
        <f t="shared" si="108"/>
        <v>331074.0531</v>
      </c>
    </row>
    <row r="259">
      <c r="A259" s="127">
        <v>51257.0</v>
      </c>
      <c r="D259" s="128">
        <f t="shared" si="126"/>
        <v>48718.44505</v>
      </c>
      <c r="E259" s="123">
        <v>1647.0</v>
      </c>
      <c r="F259" s="126">
        <f t="shared" si="3"/>
        <v>263.0136986</v>
      </c>
      <c r="G259" s="123">
        <v>1480.0</v>
      </c>
      <c r="H259" s="129">
        <f t="shared" si="4"/>
        <v>430.0136986</v>
      </c>
      <c r="I259" s="129">
        <f t="shared" si="108"/>
        <v>330245.647</v>
      </c>
    </row>
    <row r="260">
      <c r="A260" s="127">
        <v>51288.0</v>
      </c>
      <c r="D260" s="128">
        <f t="shared" si="126"/>
        <v>47233.83987</v>
      </c>
      <c r="E260" s="123">
        <v>1647.0</v>
      </c>
      <c r="F260" s="126">
        <f t="shared" si="3"/>
        <v>263.0136986</v>
      </c>
      <c r="G260" s="123">
        <v>1480.0</v>
      </c>
      <c r="H260" s="129">
        <f t="shared" si="4"/>
        <v>430.0136986</v>
      </c>
      <c r="I260" s="129">
        <f t="shared" si="108"/>
        <v>329414.4795</v>
      </c>
    </row>
    <row r="261">
      <c r="A261" s="127">
        <v>51318.0</v>
      </c>
      <c r="D261" s="128">
        <f t="shared" si="126"/>
        <v>45744.286</v>
      </c>
      <c r="E261" s="123">
        <v>1647.0</v>
      </c>
      <c r="F261" s="126">
        <f t="shared" si="3"/>
        <v>263.0136986</v>
      </c>
      <c r="G261" s="123">
        <v>1480.0</v>
      </c>
      <c r="H261" s="129">
        <f t="shared" si="4"/>
        <v>430.0136986</v>
      </c>
      <c r="I261" s="129">
        <f t="shared" si="108"/>
        <v>328580.5414</v>
      </c>
    </row>
    <row r="262">
      <c r="A262" s="127">
        <v>51349.0</v>
      </c>
      <c r="D262" s="128">
        <f t="shared" si="126"/>
        <v>44249.76696</v>
      </c>
      <c r="E262" s="123">
        <v>1647.0</v>
      </c>
      <c r="F262" s="126">
        <f t="shared" si="3"/>
        <v>263.0136986</v>
      </c>
      <c r="G262" s="123">
        <v>1480.0</v>
      </c>
      <c r="H262" s="129">
        <f t="shared" si="4"/>
        <v>430.0136986</v>
      </c>
      <c r="I262" s="129">
        <f t="shared" si="108"/>
        <v>327743.8236</v>
      </c>
    </row>
    <row r="263">
      <c r="A263" s="127">
        <v>51380.0</v>
      </c>
      <c r="D263" s="128">
        <f t="shared" si="126"/>
        <v>42750.26618</v>
      </c>
      <c r="E263" s="123">
        <v>1647.0</v>
      </c>
      <c r="F263" s="126">
        <f t="shared" si="3"/>
        <v>263.0136986</v>
      </c>
      <c r="G263" s="123">
        <v>1480.0</v>
      </c>
      <c r="H263" s="129">
        <f t="shared" si="4"/>
        <v>430.0136986</v>
      </c>
      <c r="I263" s="129">
        <f t="shared" si="108"/>
        <v>326904.3167</v>
      </c>
    </row>
    <row r="264">
      <c r="A264" s="127">
        <v>51410.0</v>
      </c>
      <c r="D264" s="128">
        <f t="shared" si="126"/>
        <v>41245.76707</v>
      </c>
      <c r="E264" s="123">
        <v>1647.0</v>
      </c>
      <c r="F264" s="126">
        <f t="shared" si="3"/>
        <v>263.0136986</v>
      </c>
      <c r="G264" s="123">
        <v>1480.0</v>
      </c>
      <c r="H264" s="129">
        <f t="shared" si="4"/>
        <v>430.0136986</v>
      </c>
      <c r="I264" s="129">
        <f t="shared" si="108"/>
        <v>326062.0115</v>
      </c>
    </row>
    <row r="265">
      <c r="A265" s="127">
        <v>51441.0</v>
      </c>
      <c r="D265" s="128">
        <f t="shared" si="126"/>
        <v>39736.25296</v>
      </c>
      <c r="E265" s="123">
        <v>1647.0</v>
      </c>
      <c r="F265" s="126">
        <f t="shared" si="3"/>
        <v>263.0136986</v>
      </c>
      <c r="G265" s="123">
        <v>1480.0</v>
      </c>
      <c r="H265" s="129">
        <f t="shared" si="4"/>
        <v>430.0136986</v>
      </c>
      <c r="I265" s="129">
        <f t="shared" si="108"/>
        <v>325216.8985</v>
      </c>
    </row>
    <row r="266">
      <c r="A266" s="127">
        <v>51471.0</v>
      </c>
      <c r="D266" s="128">
        <f t="shared" si="126"/>
        <v>38221.70713</v>
      </c>
      <c r="E266" s="123">
        <v>1647.0</v>
      </c>
      <c r="F266" s="126">
        <f t="shared" si="3"/>
        <v>263.0136986</v>
      </c>
      <c r="G266" s="123">
        <v>1480.0</v>
      </c>
      <c r="H266" s="129">
        <f t="shared" si="4"/>
        <v>430.0136986</v>
      </c>
      <c r="I266" s="129">
        <f t="shared" si="108"/>
        <v>324368.9686</v>
      </c>
    </row>
    <row r="267">
      <c r="A267" s="127">
        <v>51502.0</v>
      </c>
      <c r="D267" s="128">
        <f t="shared" si="126"/>
        <v>36702.11282</v>
      </c>
      <c r="E267" s="123">
        <v>1647.0</v>
      </c>
      <c r="F267" s="126">
        <f t="shared" si="3"/>
        <v>263.0136986</v>
      </c>
      <c r="G267" s="123">
        <v>1480.0</v>
      </c>
      <c r="H267" s="129">
        <f t="shared" si="4"/>
        <v>430.0136986</v>
      </c>
      <c r="I267" s="129">
        <f t="shared" si="108"/>
        <v>323518.2122</v>
      </c>
    </row>
    <row r="268">
      <c r="A268" s="127">
        <v>51533.0</v>
      </c>
      <c r="D268" s="128">
        <f t="shared" si="126"/>
        <v>35177.4532</v>
      </c>
      <c r="E268" s="123">
        <v>1647.0</v>
      </c>
      <c r="F268" s="126">
        <f t="shared" si="3"/>
        <v>263.0136986</v>
      </c>
      <c r="G268" s="123">
        <v>1480.0</v>
      </c>
      <c r="H268" s="129">
        <f t="shared" si="4"/>
        <v>430.0136986</v>
      </c>
      <c r="I268" s="129">
        <f t="shared" si="108"/>
        <v>322664.6199</v>
      </c>
    </row>
    <row r="269">
      <c r="A269" s="127">
        <v>51561.0</v>
      </c>
      <c r="D269" s="128">
        <f t="shared" si="126"/>
        <v>33647.71138</v>
      </c>
      <c r="E269" s="123">
        <v>1647.0</v>
      </c>
      <c r="F269" s="126">
        <f t="shared" si="3"/>
        <v>263.0136986</v>
      </c>
      <c r="G269" s="123">
        <v>1480.0</v>
      </c>
      <c r="H269" s="129">
        <f t="shared" si="4"/>
        <v>430.0136986</v>
      </c>
      <c r="I269" s="129">
        <f t="shared" si="108"/>
        <v>321808.1823</v>
      </c>
    </row>
    <row r="270">
      <c r="A270" s="127">
        <v>51592.0</v>
      </c>
      <c r="D270" s="128">
        <f t="shared" si="126"/>
        <v>32112.87042</v>
      </c>
      <c r="E270" s="123">
        <v>1647.0</v>
      </c>
      <c r="F270" s="126">
        <f t="shared" si="3"/>
        <v>263.0136986</v>
      </c>
      <c r="G270" s="123">
        <v>1480.0</v>
      </c>
      <c r="H270" s="129">
        <f t="shared" si="4"/>
        <v>430.0136986</v>
      </c>
      <c r="I270" s="129">
        <f t="shared" si="108"/>
        <v>320948.89</v>
      </c>
    </row>
    <row r="271">
      <c r="A271" s="127">
        <v>51622.0</v>
      </c>
      <c r="D271" s="128">
        <f t="shared" si="126"/>
        <v>30572.91332</v>
      </c>
      <c r="E271" s="123">
        <v>1647.0</v>
      </c>
      <c r="F271" s="126">
        <f t="shared" si="3"/>
        <v>263.0136986</v>
      </c>
      <c r="G271" s="123">
        <v>1480.0</v>
      </c>
      <c r="H271" s="129">
        <f t="shared" si="4"/>
        <v>430.0136986</v>
      </c>
      <c r="I271" s="129">
        <f t="shared" si="108"/>
        <v>320086.7333</v>
      </c>
    </row>
    <row r="272">
      <c r="A272" s="127">
        <v>51653.0</v>
      </c>
      <c r="D272" s="128">
        <f t="shared" si="126"/>
        <v>29027.82303</v>
      </c>
      <c r="E272" s="123">
        <v>1647.0</v>
      </c>
      <c r="F272" s="126">
        <f t="shared" si="3"/>
        <v>263.0136986</v>
      </c>
      <c r="G272" s="123">
        <v>1480.0</v>
      </c>
      <c r="H272" s="129">
        <f t="shared" si="4"/>
        <v>430.0136986</v>
      </c>
      <c r="I272" s="129">
        <f t="shared" si="108"/>
        <v>319221.7028</v>
      </c>
    </row>
    <row r="273">
      <c r="A273" s="127">
        <v>51683.0</v>
      </c>
      <c r="D273" s="128">
        <f t="shared" si="126"/>
        <v>27477.58244</v>
      </c>
      <c r="E273" s="123">
        <v>1647.0</v>
      </c>
      <c r="F273" s="126">
        <f t="shared" si="3"/>
        <v>263.0136986</v>
      </c>
      <c r="G273" s="123">
        <v>1480.0</v>
      </c>
      <c r="H273" s="129">
        <f t="shared" si="4"/>
        <v>430.0136986</v>
      </c>
      <c r="I273" s="129">
        <f t="shared" si="108"/>
        <v>318353.7888</v>
      </c>
    </row>
    <row r="274">
      <c r="A274" s="127">
        <v>51714.0</v>
      </c>
      <c r="D274" s="128">
        <f t="shared" si="126"/>
        <v>25922.17438</v>
      </c>
      <c r="E274" s="123">
        <v>1647.0</v>
      </c>
      <c r="F274" s="126">
        <f t="shared" si="3"/>
        <v>263.0136986</v>
      </c>
      <c r="G274" s="123">
        <v>1480.0</v>
      </c>
      <c r="H274" s="129">
        <f t="shared" si="4"/>
        <v>430.0136986</v>
      </c>
      <c r="I274" s="129">
        <f t="shared" si="108"/>
        <v>317482.9818</v>
      </c>
    </row>
    <row r="275">
      <c r="A275" s="127">
        <v>51745.0</v>
      </c>
      <c r="D275" s="128">
        <f t="shared" si="126"/>
        <v>24361.58163</v>
      </c>
      <c r="E275" s="123">
        <v>1647.0</v>
      </c>
      <c r="F275" s="126">
        <f t="shared" si="3"/>
        <v>263.0136986</v>
      </c>
      <c r="G275" s="123">
        <v>1480.0</v>
      </c>
      <c r="H275" s="129">
        <f t="shared" si="4"/>
        <v>430.0136986</v>
      </c>
      <c r="I275" s="129">
        <f t="shared" si="108"/>
        <v>316609.2721</v>
      </c>
    </row>
    <row r="276">
      <c r="A276" s="127">
        <v>51775.0</v>
      </c>
      <c r="D276" s="128">
        <f t="shared" si="126"/>
        <v>22795.7869</v>
      </c>
      <c r="E276" s="123">
        <v>1647.0</v>
      </c>
      <c r="F276" s="126">
        <f t="shared" si="3"/>
        <v>263.0136986</v>
      </c>
      <c r="G276" s="123">
        <v>1480.0</v>
      </c>
      <c r="H276" s="129">
        <f t="shared" si="4"/>
        <v>430.0136986</v>
      </c>
      <c r="I276" s="129">
        <f t="shared" si="108"/>
        <v>315732.6501</v>
      </c>
    </row>
    <row r="277">
      <c r="A277" s="127">
        <v>51806.0</v>
      </c>
      <c r="D277" s="128">
        <f t="shared" si="126"/>
        <v>21224.77286</v>
      </c>
      <c r="E277" s="123">
        <v>1647.0</v>
      </c>
      <c r="F277" s="126">
        <f t="shared" si="3"/>
        <v>263.0136986</v>
      </c>
      <c r="G277" s="123">
        <v>1480.0</v>
      </c>
      <c r="H277" s="129">
        <f t="shared" si="4"/>
        <v>430.0136986</v>
      </c>
      <c r="I277" s="129">
        <f t="shared" si="108"/>
        <v>314853.1059</v>
      </c>
    </row>
    <row r="278">
      <c r="A278" s="127">
        <v>51836.0</v>
      </c>
      <c r="D278" s="128">
        <f t="shared" si="126"/>
        <v>19648.5221</v>
      </c>
      <c r="E278" s="123">
        <v>1647.0</v>
      </c>
      <c r="F278" s="126">
        <f t="shared" si="3"/>
        <v>263.0136986</v>
      </c>
      <c r="G278" s="123">
        <v>1480.0</v>
      </c>
      <c r="H278" s="129">
        <f t="shared" si="4"/>
        <v>430.0136986</v>
      </c>
      <c r="I278" s="129">
        <f t="shared" si="108"/>
        <v>313970.63</v>
      </c>
    </row>
    <row r="279">
      <c r="A279" s="127">
        <v>51867.0</v>
      </c>
      <c r="D279" s="128">
        <f t="shared" si="126"/>
        <v>18067.01717</v>
      </c>
      <c r="E279" s="123">
        <v>1647.0</v>
      </c>
      <c r="F279" s="126">
        <f t="shared" si="3"/>
        <v>263.0136986</v>
      </c>
      <c r="G279" s="123">
        <v>1480.0</v>
      </c>
      <c r="H279" s="129">
        <f t="shared" si="4"/>
        <v>430.0136986</v>
      </c>
      <c r="I279" s="129">
        <f t="shared" si="108"/>
        <v>313085.2124</v>
      </c>
    </row>
    <row r="280">
      <c r="A280" s="127">
        <v>51898.0</v>
      </c>
      <c r="D280" s="128">
        <f t="shared" si="126"/>
        <v>16480.24056</v>
      </c>
      <c r="E280" s="123">
        <v>1647.0</v>
      </c>
      <c r="F280" s="126">
        <f t="shared" si="3"/>
        <v>263.0136986</v>
      </c>
      <c r="G280" s="123">
        <v>1480.0</v>
      </c>
      <c r="H280" s="129">
        <f t="shared" si="4"/>
        <v>430.0136986</v>
      </c>
      <c r="I280" s="129">
        <f t="shared" si="108"/>
        <v>312196.8435</v>
      </c>
    </row>
    <row r="281">
      <c r="A281" s="127">
        <v>51926.0</v>
      </c>
      <c r="D281" s="128">
        <f t="shared" si="126"/>
        <v>14888.1747</v>
      </c>
      <c r="E281" s="123">
        <v>1647.0</v>
      </c>
      <c r="F281" s="126">
        <f t="shared" si="3"/>
        <v>263.0136986</v>
      </c>
      <c r="G281" s="123">
        <v>1480.0</v>
      </c>
      <c r="H281" s="129">
        <f t="shared" si="4"/>
        <v>430.0136986</v>
      </c>
      <c r="I281" s="129">
        <f t="shared" si="108"/>
        <v>311305.5134</v>
      </c>
    </row>
    <row r="282">
      <c r="A282" s="127">
        <v>51957.0</v>
      </c>
      <c r="D282" s="128">
        <f t="shared" si="126"/>
        <v>13290.80195</v>
      </c>
      <c r="E282" s="123">
        <v>1647.0</v>
      </c>
      <c r="F282" s="126">
        <f t="shared" si="3"/>
        <v>263.0136986</v>
      </c>
      <c r="G282" s="123">
        <v>1480.0</v>
      </c>
      <c r="H282" s="129">
        <f t="shared" si="4"/>
        <v>430.0136986</v>
      </c>
      <c r="I282" s="129">
        <f t="shared" si="108"/>
        <v>310411.2121</v>
      </c>
    </row>
    <row r="283">
      <c r="A283" s="127">
        <v>51987.0</v>
      </c>
      <c r="D283" s="128">
        <f t="shared" si="126"/>
        <v>11688.10462</v>
      </c>
      <c r="E283" s="123">
        <v>1647.0</v>
      </c>
      <c r="F283" s="126">
        <f t="shared" si="3"/>
        <v>263.0136986</v>
      </c>
      <c r="G283" s="123">
        <v>1480.0</v>
      </c>
      <c r="H283" s="129">
        <f t="shared" si="4"/>
        <v>430.0136986</v>
      </c>
      <c r="I283" s="129">
        <f t="shared" si="108"/>
        <v>309513.9298</v>
      </c>
    </row>
    <row r="284">
      <c r="A284" s="127">
        <v>52018.0</v>
      </c>
      <c r="D284" s="128">
        <f t="shared" si="126"/>
        <v>10080.06497</v>
      </c>
      <c r="E284" s="123">
        <v>1647.0</v>
      </c>
      <c r="F284" s="126">
        <f t="shared" si="3"/>
        <v>263.0136986</v>
      </c>
      <c r="G284" s="123">
        <v>1480.0</v>
      </c>
      <c r="H284" s="129">
        <f t="shared" si="4"/>
        <v>430.0136986</v>
      </c>
      <c r="I284" s="129">
        <f t="shared" si="108"/>
        <v>308613.6566</v>
      </c>
    </row>
    <row r="285">
      <c r="A285" s="127">
        <v>52048.0</v>
      </c>
      <c r="D285" s="128">
        <f t="shared" si="126"/>
        <v>8466.665186</v>
      </c>
      <c r="E285" s="123">
        <v>1647.0</v>
      </c>
      <c r="F285" s="126">
        <f t="shared" si="3"/>
        <v>263.0136986</v>
      </c>
      <c r="G285" s="123">
        <v>1480.0</v>
      </c>
      <c r="H285" s="129">
        <f t="shared" si="4"/>
        <v>430.0136986</v>
      </c>
      <c r="I285" s="129">
        <f t="shared" si="108"/>
        <v>307710.3825</v>
      </c>
    </row>
    <row r="286">
      <c r="A286" s="127">
        <v>52079.0</v>
      </c>
      <c r="D286" s="128">
        <f t="shared" si="126"/>
        <v>6847.887403</v>
      </c>
      <c r="E286" s="123">
        <v>1647.0</v>
      </c>
      <c r="F286" s="126">
        <f t="shared" si="3"/>
        <v>263.0136986</v>
      </c>
      <c r="G286" s="123">
        <v>1480.0</v>
      </c>
      <c r="H286" s="129">
        <f t="shared" si="4"/>
        <v>430.0136986</v>
      </c>
      <c r="I286" s="129">
        <f t="shared" si="108"/>
        <v>306804.0975</v>
      </c>
    </row>
    <row r="287">
      <c r="A287" s="127">
        <v>52110.0</v>
      </c>
      <c r="D287" s="128">
        <f t="shared" si="126"/>
        <v>5223.713695</v>
      </c>
      <c r="E287" s="123">
        <v>1647.0</v>
      </c>
      <c r="F287" s="126">
        <f t="shared" si="3"/>
        <v>263.0136986</v>
      </c>
      <c r="G287" s="123">
        <v>1480.0</v>
      </c>
      <c r="H287" s="129">
        <f t="shared" si="4"/>
        <v>430.0136986</v>
      </c>
      <c r="I287" s="129">
        <f t="shared" si="108"/>
        <v>305894.7915</v>
      </c>
    </row>
    <row r="288">
      <c r="A288" s="127">
        <v>52140.0</v>
      </c>
      <c r="D288" s="128">
        <f t="shared" si="126"/>
        <v>3594.126074</v>
      </c>
      <c r="E288" s="123">
        <v>1647.0</v>
      </c>
      <c r="F288" s="126">
        <f t="shared" si="3"/>
        <v>263.0136986</v>
      </c>
      <c r="G288" s="123">
        <v>1480.0</v>
      </c>
      <c r="H288" s="129">
        <f t="shared" si="4"/>
        <v>430.0136986</v>
      </c>
      <c r="I288" s="129">
        <f t="shared" si="108"/>
        <v>304982.4545</v>
      </c>
    </row>
    <row r="289">
      <c r="A289" s="127">
        <v>52171.0</v>
      </c>
      <c r="D289" s="128">
        <f t="shared" si="126"/>
        <v>1959.106494</v>
      </c>
      <c r="E289" s="123">
        <v>1647.0</v>
      </c>
      <c r="F289" s="126">
        <f t="shared" si="3"/>
        <v>263.0136986</v>
      </c>
      <c r="G289" s="123">
        <v>1480.0</v>
      </c>
      <c r="H289" s="129">
        <f t="shared" si="4"/>
        <v>430.0136986</v>
      </c>
      <c r="I289" s="129">
        <f t="shared" si="108"/>
        <v>304067.0764</v>
      </c>
    </row>
    <row r="290">
      <c r="A290" s="127">
        <v>52201.0</v>
      </c>
      <c r="D290" s="128">
        <f t="shared" si="126"/>
        <v>318.636849</v>
      </c>
      <c r="E290" s="123">
        <v>1647.0</v>
      </c>
      <c r="F290" s="126">
        <f t="shared" si="3"/>
        <v>263.0136986</v>
      </c>
      <c r="G290" s="123">
        <v>1480.0</v>
      </c>
      <c r="H290" s="129">
        <f t="shared" si="4"/>
        <v>430.0136986</v>
      </c>
      <c r="I290" s="129">
        <f t="shared" si="108"/>
        <v>303148.647</v>
      </c>
    </row>
    <row r="291">
      <c r="D291" s="128"/>
      <c r="E291" s="129"/>
      <c r="F291" s="123"/>
      <c r="G291" s="123"/>
      <c r="H291" s="129"/>
    </row>
    <row r="292">
      <c r="D292" s="128"/>
      <c r="E292" s="129"/>
      <c r="F292" s="123"/>
      <c r="G292" s="123"/>
      <c r="H292" s="129"/>
    </row>
    <row r="293">
      <c r="D293" s="128"/>
      <c r="E293" s="129"/>
      <c r="F293" s="123"/>
      <c r="G293" s="123"/>
      <c r="H293" s="129"/>
    </row>
    <row r="294">
      <c r="D294" s="128"/>
      <c r="E294" s="129"/>
      <c r="F294" s="123"/>
      <c r="G294" s="123"/>
      <c r="H294" s="129"/>
    </row>
    <row r="295">
      <c r="D295" s="128"/>
      <c r="E295" s="129"/>
      <c r="F295" s="123"/>
      <c r="G295" s="123"/>
      <c r="H295" s="129"/>
    </row>
    <row r="296">
      <c r="D296" s="128"/>
      <c r="E296" s="129"/>
      <c r="F296" s="123"/>
      <c r="G296" s="123"/>
      <c r="H296" s="129"/>
    </row>
  </sheetData>
  <drawing r:id="rId1"/>
</worksheet>
</file>